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drawings/drawing3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110" yWindow="120" windowWidth="17235" windowHeight="10815" tabRatio="725"/>
  </bookViews>
  <sheets>
    <sheet name="Catalogue" sheetId="1" r:id="rId1"/>
    <sheet name="Inventory" sheetId="2" r:id="rId2"/>
    <sheet name="Verification" sheetId="3" r:id="rId3"/>
    <sheet name="Order Form" sheetId="4" r:id="rId4"/>
    <sheet name="Order Form - Multi" sheetId="5" r:id="rId5"/>
    <sheet name="Supplier List" sheetId="6" r:id="rId6"/>
    <sheet name="VH Bio Batch Order" sheetId="7" r:id="rId7"/>
    <sheet name="Items Out of Use" sheetId="8" r:id="rId8"/>
  </sheets>
  <calcPr calcId="145621"/>
</workbook>
</file>

<file path=xl/calcChain.xml><?xml version="1.0" encoding="utf-8"?>
<calcChain xmlns="http://schemas.openxmlformats.org/spreadsheetml/2006/main">
  <c r="M84" i="1" l="1"/>
  <c r="M85" i="1"/>
  <c r="M86" i="1"/>
  <c r="M87" i="1"/>
  <c r="M88" i="1"/>
  <c r="M33" i="1"/>
  <c r="M34" i="1"/>
  <c r="M35" i="1"/>
  <c r="M36" i="1"/>
  <c r="M37" i="1"/>
  <c r="M38" i="1"/>
  <c r="M39" i="1"/>
  <c r="M40" i="1"/>
  <c r="M41" i="1"/>
  <c r="M42" i="1"/>
  <c r="M43" i="1"/>
  <c r="M44" i="1"/>
  <c r="M45" i="1"/>
  <c r="M46" i="1"/>
  <c r="M47" i="1"/>
  <c r="M48" i="1"/>
  <c r="M49" i="1"/>
  <c r="M50" i="1"/>
  <c r="M51" i="1"/>
  <c r="M52" i="1"/>
  <c r="M53" i="1"/>
  <c r="M54" i="1"/>
  <c r="M55" i="1"/>
  <c r="M56" i="1"/>
  <c r="M57" i="1"/>
  <c r="M58" i="1"/>
  <c r="M59" i="1"/>
  <c r="M60" i="1"/>
  <c r="M61" i="1"/>
  <c r="M62" i="1"/>
  <c r="M63" i="1"/>
  <c r="M64" i="1"/>
  <c r="M65" i="1"/>
  <c r="M66" i="1"/>
  <c r="M67" i="1"/>
  <c r="M68" i="1"/>
  <c r="M69" i="1"/>
  <c r="M70" i="1"/>
  <c r="M71" i="1"/>
  <c r="M72" i="1"/>
  <c r="M73" i="1"/>
  <c r="M74" i="1"/>
  <c r="M75" i="1"/>
  <c r="M76" i="1"/>
  <c r="M77" i="1"/>
  <c r="M78" i="1"/>
  <c r="M79" i="1"/>
  <c r="M80" i="1"/>
  <c r="M81" i="1"/>
  <c r="M82" i="1"/>
  <c r="M83" i="1"/>
  <c r="M18" i="1"/>
  <c r="M19" i="1"/>
  <c r="M20" i="1"/>
  <c r="M21" i="1"/>
  <c r="M22" i="1"/>
  <c r="M23" i="1"/>
  <c r="M24" i="1"/>
  <c r="M25" i="1"/>
  <c r="M26" i="1"/>
  <c r="M27" i="1"/>
  <c r="M28" i="1"/>
  <c r="M29" i="1"/>
  <c r="M30" i="1"/>
  <c r="M31" i="1"/>
  <c r="M32" i="1"/>
  <c r="M11" i="1"/>
  <c r="M12" i="1"/>
  <c r="M13" i="1"/>
  <c r="M14" i="1"/>
  <c r="M15" i="1"/>
  <c r="M16" i="1"/>
  <c r="M17" i="1"/>
  <c r="M4" i="1"/>
  <c r="M5" i="1"/>
  <c r="M6" i="1"/>
  <c r="M7" i="1"/>
  <c r="M8" i="1"/>
  <c r="M9" i="1"/>
  <c r="M10" i="1"/>
  <c r="M3" i="1"/>
</calcChain>
</file>

<file path=xl/sharedStrings.xml><?xml version="1.0" encoding="utf-8"?>
<sst xmlns="http://schemas.openxmlformats.org/spreadsheetml/2006/main" count="778" uniqueCount="449">
  <si>
    <t>Item name</t>
  </si>
  <si>
    <t>Supplier</t>
  </si>
  <si>
    <t>Catalogue number</t>
  </si>
  <si>
    <t>Unit size</t>
  </si>
  <si>
    <t>Storage temperature</t>
  </si>
  <si>
    <t>Weblink for product</t>
  </si>
  <si>
    <t>Current quote number</t>
  </si>
  <si>
    <t>Quote hyperlink</t>
  </si>
  <si>
    <t>Cost per unit</t>
  </si>
  <si>
    <t>Delivery charge</t>
  </si>
  <si>
    <t>Instructions for use</t>
  </si>
  <si>
    <t>Comments</t>
  </si>
  <si>
    <t>Supplier contact (automatic)</t>
  </si>
  <si>
    <t>Agarose Ultrapure</t>
  </si>
  <si>
    <t>Thermo Fisher Scientific</t>
  </si>
  <si>
    <t>16500-500</t>
  </si>
  <si>
    <t>500g</t>
  </si>
  <si>
    <t>15 to 30C</t>
  </si>
  <si>
    <t>https://www.thermofisher.com/order/catalog/product/16500500?gclid=Cj0KCQjw9afOBRDWARIsAJW4nvw2RNa167eMv5BIrkeR-PUwntYzFsVjGdrW8MBTzNwIWMGqW5q5ma0aAuSvEALw_wcB&amp;ef_id=WDV2gwAABSKuqiD3:20170926085020:s</t>
  </si>
  <si>
    <t>SIGMA Aldrich</t>
  </si>
  <si>
    <t>2 to 8C</t>
  </si>
  <si>
    <t>Anti-Human IgG (γ-chain specific)−FITC antibody produced in goat</t>
  </si>
  <si>
    <t>F0132</t>
  </si>
  <si>
    <t>2ml</t>
  </si>
  <si>
    <t>-15 to -30C</t>
  </si>
  <si>
    <t>Becton Dickinson UK Ltd</t>
  </si>
  <si>
    <t>Conductivity standard 12880us</t>
  </si>
  <si>
    <t>Scientific Laboratory Supplies (SLS)</t>
  </si>
  <si>
    <t>CHE1630</t>
  </si>
  <si>
    <t>500ml</t>
  </si>
  <si>
    <t>Deoxyribonuclease I from bovine pancreas</t>
  </si>
  <si>
    <t>D5025</t>
  </si>
  <si>
    <t>15,000 units</t>
  </si>
  <si>
    <t>DL-Dithiothreitol</t>
  </si>
  <si>
    <t>D9163</t>
  </si>
  <si>
    <t>1g</t>
  </si>
  <si>
    <t>dNTP set, 100mM each</t>
  </si>
  <si>
    <t>R0181</t>
  </si>
  <si>
    <t>4 x 0.25ml</t>
  </si>
  <si>
    <t>STEMCELL Technologies</t>
  </si>
  <si>
    <t xml:space="preserve">89684 </t>
  </si>
  <si>
    <t>1 kit</t>
  </si>
  <si>
    <t>89671</t>
  </si>
  <si>
    <t>19655</t>
  </si>
  <si>
    <t>Ethanol</t>
  </si>
  <si>
    <t>29221-1L</t>
  </si>
  <si>
    <t>1L</t>
  </si>
  <si>
    <t>Ethylenediaminetetraacetic acid (EDTA) disodium salt solution 0.1M</t>
  </si>
  <si>
    <t>VWR International</t>
  </si>
  <si>
    <t>34550-500ML-R</t>
  </si>
  <si>
    <t>Fetal Bovine Serum</t>
  </si>
  <si>
    <t>F4135</t>
  </si>
  <si>
    <t>100ml</t>
  </si>
  <si>
    <t>FLEXMAP 3D Calibration Kit</t>
  </si>
  <si>
    <t>VH Bio Ltd</t>
  </si>
  <si>
    <t>F3DIVD-CAL-K25</t>
  </si>
  <si>
    <t>25 tests</t>
  </si>
  <si>
    <t>FLEXMAP 3D Performance Verification Kit</t>
  </si>
  <si>
    <t>F3DIVD-PVER-K25</t>
  </si>
  <si>
    <t>Fluorescein (FITC)-AffiniPure F(ab')2 Fragment Goat Anti-Human IgG, Fcγ Fragment</t>
  </si>
  <si>
    <t>Stratech Scientific Ltd</t>
  </si>
  <si>
    <t>109-096-098</t>
  </si>
  <si>
    <t>1mg</t>
  </si>
  <si>
    <t>https://www.stratech.co.uk/catalogue/?query=109-096-098</t>
  </si>
  <si>
    <t>Gel loading Solution</t>
  </si>
  <si>
    <t>G7654-5ML</t>
  </si>
  <si>
    <t>5ml</t>
  </si>
  <si>
    <t>GeneRuler 50bp DNA ladder</t>
  </si>
  <si>
    <t>SM0372</t>
  </si>
  <si>
    <t>5 x 50ug (100ul)</t>
  </si>
  <si>
    <t>Hepes solution</t>
  </si>
  <si>
    <t>H0887</t>
  </si>
  <si>
    <t>Illumina</t>
  </si>
  <si>
    <t>https://www.illumina.com/products/by-type/sequencing-kits/cluster-gen-sequencing-reagents/iseq-reagents.html</t>
  </si>
  <si>
    <t>https://emea.support.illumina.com/sequencing/sequencing_instruments/iseq-100/documentation.html</t>
  </si>
  <si>
    <t>iSeq 100 i1 Reagent v2 4 pack</t>
  </si>
  <si>
    <t>4 tests</t>
  </si>
  <si>
    <t>LABType SSO HLA-A CWD</t>
  </si>
  <si>
    <t>03RSSOW1A</t>
  </si>
  <si>
    <t>100 tests</t>
  </si>
  <si>
    <t>LABType SSO HLA-B CWD</t>
  </si>
  <si>
    <t>03RSSOW1B</t>
  </si>
  <si>
    <t>LABType SSO HLA-B XR</t>
  </si>
  <si>
    <t>03RSSOX1B</t>
  </si>
  <si>
    <t>LABType SSO HLA-C CWD</t>
  </si>
  <si>
    <t>03RSSOW1C</t>
  </si>
  <si>
    <t>LABType SSO HLA-DPA1/DPB1</t>
  </si>
  <si>
    <t>03RSSO2P</t>
  </si>
  <si>
    <t>LABType SSO HLA-DQA1/DQB1</t>
  </si>
  <si>
    <t>03RSSO2Q</t>
  </si>
  <si>
    <t>LABType SSO HLA-DRB1 CWD</t>
  </si>
  <si>
    <t>03RSSOW2B1</t>
  </si>
  <si>
    <t>LABType SSO HLA-DRB345</t>
  </si>
  <si>
    <t>03RSSO2345</t>
  </si>
  <si>
    <t>LABType wash buffer</t>
  </si>
  <si>
    <t>03LTWABUF</t>
  </si>
  <si>
    <t>-15 to 30C</t>
  </si>
  <si>
    <t>LinkSeq ABO 384 Kit</t>
  </si>
  <si>
    <t>6321R</t>
  </si>
  <si>
    <t>5 plates</t>
  </si>
  <si>
    <t>LinkSeq RBC with RH 384 Kit</t>
  </si>
  <si>
    <t>6351R</t>
  </si>
  <si>
    <t>Maxwell RSC Whole Blood DNA Kit</t>
  </si>
  <si>
    <t>Promega UK Ltd</t>
  </si>
  <si>
    <t>AS1520</t>
  </si>
  <si>
    <t>48 cartridges</t>
  </si>
  <si>
    <t>N/A</t>
  </si>
  <si>
    <t>http://www.promega.co.uk/~/media/files/resources/protocols/technical%20manuals/101/maxwell%20rsc%20whole%20blood%20dna%20kit%20protocol.pdf</t>
  </si>
  <si>
    <t>MicroSSP ABC</t>
  </si>
  <si>
    <t>SSP1L</t>
  </si>
  <si>
    <t>10 plates</t>
  </si>
  <si>
    <t>http://www.onelambda.com/en/products-services/products/molecular-typing/micro-ssp.html</t>
  </si>
  <si>
    <t xml:space="preserve">MicroSSP DRDQ </t>
  </si>
  <si>
    <t>SSP2L</t>
  </si>
  <si>
    <t>30 trays</t>
  </si>
  <si>
    <t>MicroSSP DRDQDP</t>
  </si>
  <si>
    <t>SSPDRDQP1</t>
  </si>
  <si>
    <t>10 trays</t>
  </si>
  <si>
    <t>Bio-Rad (Formerly AbD Serotec) </t>
  </si>
  <si>
    <t>Mouse anti-Human HLA-ABC</t>
  </si>
  <si>
    <t>MCA81</t>
  </si>
  <si>
    <t>Mouse anti-Human HLA-DP, -DQ, -DR</t>
  </si>
  <si>
    <t>MCA477</t>
  </si>
  <si>
    <t>0.2mg</t>
  </si>
  <si>
    <t>https://www.bio-rad-antibodies.com/monoclonal/human-hla-dp-dq-dr-antibody-wr18-mca477.html?f=purified</t>
  </si>
  <si>
    <t>NGSgo Library Full Kit</t>
  </si>
  <si>
    <t>Alpha Biotech</t>
  </si>
  <si>
    <t>96 tests</t>
  </si>
  <si>
    <t>Box 1: -15 to -30C, box 2: 2-8C</t>
  </si>
  <si>
    <t>https://www.gendx.com/product_line/ngsgo-mx11-3/</t>
  </si>
  <si>
    <t>NGSgo MX11-3</t>
  </si>
  <si>
    <t>Nuclease free water</t>
  </si>
  <si>
    <t>AM9932</t>
  </si>
  <si>
    <t>PE-Conjugated Streptavidin</t>
  </si>
  <si>
    <t>LT-SAPE</t>
  </si>
  <si>
    <t>1 ml</t>
  </si>
  <si>
    <t>PhiX Control v3</t>
  </si>
  <si>
    <t>Phosphate buffered saline</t>
  </si>
  <si>
    <t>P4417</t>
  </si>
  <si>
    <t>50 tablets</t>
  </si>
  <si>
    <t xml:space="preserve">Pipette tip refill - 10/20ul graduated TipOne </t>
  </si>
  <si>
    <t>STARLAB (UK), Ltd</t>
  </si>
  <si>
    <t>S1110-3700</t>
  </si>
  <si>
    <t>10 x 96</t>
  </si>
  <si>
    <t xml:space="preserve">Pipette tip refill - 1000ul graduated TipOne  </t>
  </si>
  <si>
    <t>S1111-6700</t>
  </si>
  <si>
    <t xml:space="preserve">Pipette tip refill - 200ul yellow ultrapoint graduated TipOne </t>
  </si>
  <si>
    <t>S1113-1706</t>
  </si>
  <si>
    <t xml:space="preserve">Pipette tip refill - 300ul graduated TipOne  </t>
  </si>
  <si>
    <t>S1110-9700</t>
  </si>
  <si>
    <t>Pipette tip sterile racked - 10/20µl XL Graduated TipOne Filter</t>
  </si>
  <si>
    <t>S1120-3810</t>
  </si>
  <si>
    <t>Pipette tip sterile racked - 1000ul XL Graduated TipOne Filter</t>
  </si>
  <si>
    <t>S1122-1830</t>
  </si>
  <si>
    <t>Pipette tip sterile racked - 200µl Graduated TipOne Filter</t>
  </si>
  <si>
    <t>S1120-8810</t>
  </si>
  <si>
    <t>PRONASE Protease, Streptomyces griseus, Nuclease-Free</t>
  </si>
  <si>
    <t>537088</t>
  </si>
  <si>
    <t>5KU</t>
  </si>
  <si>
    <t>QTYPE 11</t>
  </si>
  <si>
    <t>201.701-10</t>
  </si>
  <si>
    <t>https://labproducts.caredx.com/products/qtype/technical-documents/</t>
  </si>
  <si>
    <t>QTYPE Colour Compensation Calibration Plate</t>
  </si>
  <si>
    <t>203.501-01</t>
  </si>
  <si>
    <t>1 plate</t>
  </si>
  <si>
    <t>QuantiFluor ONE dsDNA System</t>
  </si>
  <si>
    <t>E4871</t>
  </si>
  <si>
    <t>http://www.promega.co.uk/~/media/files/resources/protocols/technical%20manuals/101/quantifluor%20dsdna%20system%20protocol.pdf</t>
  </si>
  <si>
    <t>QuickGene SP kit DNA whole blood</t>
  </si>
  <si>
    <t>Alpha Laboratories Ltd</t>
  </si>
  <si>
    <t>635-23619</t>
  </si>
  <si>
    <t>https://www.kurabo.co.jp/bio/English/product/products.php?M=T&amp;TID=21</t>
  </si>
  <si>
    <t>RBC Ready Gene KKD</t>
  </si>
  <si>
    <t>Immucor</t>
  </si>
  <si>
    <t>001 040 012</t>
  </si>
  <si>
    <t>12 tests</t>
  </si>
  <si>
    <t>RBC Ready Gene vERYfy</t>
  </si>
  <si>
    <t>001 076 012</t>
  </si>
  <si>
    <t>RPMI-1640 Medium</t>
  </si>
  <si>
    <t>R7388</t>
  </si>
  <si>
    <t>SARS-CoV-2 Medium Q Control (Positive Control)</t>
  </si>
  <si>
    <t>Randox Laboratories</t>
  </si>
  <si>
    <t>SCV2QC</t>
  </si>
  <si>
    <t>5 x 500ul</t>
  </si>
  <si>
    <t>Sodium bicarbonate solution</t>
  </si>
  <si>
    <t>S8761</t>
  </si>
  <si>
    <t>Sodium hydroxide concentrate</t>
  </si>
  <si>
    <t>43617-1L</t>
  </si>
  <si>
    <t>SYBR Green I nucleic acid stain</t>
  </si>
  <si>
    <t>S7585</t>
  </si>
  <si>
    <t>20x 50ul</t>
  </si>
  <si>
    <t>Taq polymerase</t>
  </si>
  <si>
    <t>03TAQ75</t>
  </si>
  <si>
    <t>75ul</t>
  </si>
  <si>
    <t>EP0406</t>
  </si>
  <si>
    <t>TBE 10X</t>
  </si>
  <si>
    <t>15581-028</t>
  </si>
  <si>
    <t>10L</t>
  </si>
  <si>
    <t>https://www.thermofisher.com/order/catalog/product/AM9864?SID=srch-srp-AM9864</t>
  </si>
  <si>
    <t>Tris buffer, 0.1M, pH7.4</t>
  </si>
  <si>
    <t>E553-100ML</t>
  </si>
  <si>
    <t>xMap Sheath Fluid PLUS</t>
  </si>
  <si>
    <t>40-50021</t>
  </si>
  <si>
    <t>20L</t>
  </si>
  <si>
    <t>https://www.luminexcorp.com/eu/download/msds-1x-xmap-sheath-fluid/</t>
  </si>
  <si>
    <t>Xpert Xpress SARS CoV 2</t>
  </si>
  <si>
    <t>Microbiology UHL</t>
  </si>
  <si>
    <t>XPRSARS-COV2-10</t>
  </si>
  <si>
    <t>10 cartridges</t>
  </si>
  <si>
    <t>2 to 28C</t>
  </si>
  <si>
    <t>I:\COVID19\Cepheid GeneExpress SARS-COV2.pdf</t>
  </si>
  <si>
    <t>Xpert Xpress SARS- CoV- 2/Flu/RSV</t>
  </si>
  <si>
    <t>XPCOV2/FLU/RSV-10</t>
  </si>
  <si>
    <t>https://www.cepheid.com/Package%20Insert%20Files/Xpert%20Xpress%20SARS-CoV-2%20Flu%20RSV%20HC%20English%20Package%20Insert%20302-5707%20Rev.%20A.pdf</t>
  </si>
  <si>
    <t>Stock number</t>
  </si>
  <si>
    <t>Lot/batch number</t>
  </si>
  <si>
    <t>Received date</t>
  </si>
  <si>
    <t>No. units</t>
  </si>
  <si>
    <t>Expiry date</t>
  </si>
  <si>
    <t>Visual inspection</t>
  </si>
  <si>
    <t>Damage description</t>
  </si>
  <si>
    <t>Kit insert received?</t>
  </si>
  <si>
    <t>Booked in by</t>
  </si>
  <si>
    <t>Product</t>
  </si>
  <si>
    <t>Item</t>
  </si>
  <si>
    <t>Manufacturer's batch/lot number</t>
  </si>
  <si>
    <t>Date of receipt</t>
  </si>
  <si>
    <t>Units received</t>
  </si>
  <si>
    <t>Visual inspection OK</t>
  </si>
  <si>
    <t>Kit insert</t>
  </si>
  <si>
    <t>Kit insert/instructions included?</t>
  </si>
  <si>
    <t>Any changes from previous delivery?</t>
  </si>
  <si>
    <t>Verification</t>
  </si>
  <si>
    <t>Control used</t>
  </si>
  <si>
    <t>Expected result</t>
  </si>
  <si>
    <r>
      <t>Actual result</t>
    </r>
    <r>
      <rPr>
        <sz val="9"/>
        <color theme="1"/>
        <rFont val="Calibri"/>
        <family val="2"/>
        <scheme val="minor"/>
      </rPr>
      <t xml:space="preserve"> (append relavant documents to printout)</t>
    </r>
  </si>
  <si>
    <t>Tested by</t>
  </si>
  <si>
    <t>On run (if applicable)</t>
  </si>
  <si>
    <t>Date</t>
  </si>
  <si>
    <t>Verification result</t>
  </si>
  <si>
    <t>Reviewed by</t>
  </si>
  <si>
    <t>Acceptable for use</t>
  </si>
  <si>
    <t>Corrective actions taken</t>
  </si>
  <si>
    <t>Routine use</t>
  </si>
  <si>
    <t>Date released for use</t>
  </si>
  <si>
    <t>Date removed from use</t>
  </si>
  <si>
    <t>Amount discarded</t>
  </si>
  <si>
    <t>*New manufacturer's insert</t>
  </si>
  <si>
    <t>Date of review</t>
  </si>
  <si>
    <t>Changes required?</t>
  </si>
  <si>
    <t>Description of changes</t>
  </si>
  <si>
    <t>Order request</t>
  </si>
  <si>
    <t>Number of units</t>
  </si>
  <si>
    <t>Description</t>
  </si>
  <si>
    <t>Supplier name</t>
  </si>
  <si>
    <t>Supplier contact</t>
  </si>
  <si>
    <t>Cost per unit ex. VAT</t>
  </si>
  <si>
    <t>Quote number</t>
  </si>
  <si>
    <t>Requested by</t>
  </si>
  <si>
    <t>Company</t>
  </si>
  <si>
    <t>Address</t>
  </si>
  <si>
    <t>Phone</t>
  </si>
  <si>
    <t>Email</t>
  </si>
  <si>
    <t>Contact person</t>
  </si>
  <si>
    <t>Customer ID</t>
  </si>
  <si>
    <t>Lab ID</t>
  </si>
  <si>
    <t>Agilent Technologies Inc</t>
  </si>
  <si>
    <t>174 Brook Drive, Abingdon,Oxon, OX14 4SD</t>
  </si>
  <si>
    <t>01235 856 555</t>
  </si>
  <si>
    <t>Ythan Lodge, Drumore Road, Killearn, Glasgow, G63 9NX</t>
  </si>
  <si>
    <t>020 8374 0826</t>
  </si>
  <si>
    <t>enquiries@alphabiotech.co.uk</t>
  </si>
  <si>
    <t>40 Parham Dr, Eastleigh SO50 4NU</t>
  </si>
  <si>
    <t>023 8048 3000</t>
  </si>
  <si>
    <t>Endeavour House, The Langford Business Park, Langford Ln, Kidlington OX5 1GE</t>
  </si>
  <si>
    <t>01865 852700</t>
  </si>
  <si>
    <t>antibody_orders_uk@bio-rad.com</t>
  </si>
  <si>
    <t>Fisher Scientific UK</t>
  </si>
  <si>
    <t>Bishop Meadow Rd, Loughborough LE11 5RG</t>
  </si>
  <si>
    <t>01509 231166</t>
  </si>
  <si>
    <t>2 Cranbrook Way, Shirley, Solihull B90 4GT</t>
  </si>
  <si>
    <t>01217447674</t>
  </si>
  <si>
    <t>Life Technologies Ltd</t>
  </si>
  <si>
    <t>3 Fountain Dr, Paisley, Inchinnan, Renfrew PA4</t>
  </si>
  <si>
    <t>0044141 814 6100</t>
  </si>
  <si>
    <t>ukorders@lifetech.com</t>
  </si>
  <si>
    <t>Science Park, 2 Benham Rd, Chilworth, Southampton SO16 7QJ</t>
  </si>
  <si>
    <t>0800 378994</t>
  </si>
  <si>
    <t>ukcustserve@promega.com</t>
  </si>
  <si>
    <t>55 Diamond Road,Crumlin, Co. Antrim,BT29 4</t>
  </si>
  <si>
    <t>44 (0) 28 9442 24</t>
  </si>
  <si>
    <t>qnostics.orders@randox.com</t>
  </si>
  <si>
    <t>Nottingham South &amp; Wilford Industrial Estate, 22-23 Ruddington Ln, West Bridgford, Nottingham NG11 7EP</t>
  </si>
  <si>
    <t>0115 982 1111</t>
  </si>
  <si>
    <t>Fancy Road, Poole, Dorset, BH12 4QH</t>
  </si>
  <si>
    <t xml:space="preserve"> 0800717181</t>
  </si>
  <si>
    <t>ukorders@sial.com</t>
  </si>
  <si>
    <t>5 Tanners Dr, Blakelands, Milton Keynes MK14 5BU</t>
  </si>
  <si>
    <t>01908 283800</t>
  </si>
  <si>
    <t>Building 7100, Cambridge Research Park, Beach Drive, Waterbeach, Cambridge CB25 9TL</t>
  </si>
  <si>
    <t>01223 859860</t>
  </si>
  <si>
    <t>Cambridge House, St Thomas’ Place, Cambridgeshire Business Park, Ely, CB7 4EX</t>
  </si>
  <si>
    <t>01638 782600</t>
  </si>
  <si>
    <t>orders@stratech.co.uk</t>
  </si>
  <si>
    <t>Bishop Meadow Rd, Loughborough LE11 5RE</t>
  </si>
  <si>
    <t>0845 363 0426</t>
  </si>
  <si>
    <t>cs.molbio.eu@thermofisher.com</t>
  </si>
  <si>
    <t>11B Station Approach, Gateshead NE11 0ZF</t>
  </si>
  <si>
    <t>0191 4958210</t>
  </si>
  <si>
    <t>info@vhbio.com</t>
  </si>
  <si>
    <t>Hunter Blvd, Lutterworth LE17 4XN</t>
  </si>
  <si>
    <t>0800 22 33 44</t>
  </si>
  <si>
    <t>uksales@uk.vwr.com</t>
  </si>
  <si>
    <t>Illumina Centre, 19 Granta Park, Great Abington, Cambridge, Cambridgeshire, CB21 6DF</t>
  </si>
  <si>
    <t>01223 408000</t>
  </si>
  <si>
    <t>Bradshaw Robert - Clinical Scientist</t>
  </si>
  <si>
    <t>y</t>
  </si>
  <si>
    <t>Thawed</t>
  </si>
  <si>
    <t>Damaged</t>
  </si>
  <si>
    <t>VH Bio  Batch Order</t>
  </si>
  <si>
    <t>Qnty</t>
  </si>
  <si>
    <t>Code</t>
  </si>
  <si>
    <t>Price</t>
  </si>
  <si>
    <t>Size</t>
  </si>
  <si>
    <t>03LX40-50000</t>
  </si>
  <si>
    <t>xMAP Sheath Fluid</t>
  </si>
  <si>
    <t>20 L</t>
  </si>
  <si>
    <t>03LX200-CAL-K25 =  1VHB00025</t>
  </si>
  <si>
    <t>Luminex Calibration Kit</t>
  </si>
  <si>
    <t xml:space="preserve"> 03LX200-CON-K25 = 1VHB00026</t>
  </si>
  <si>
    <t>Luminex Verification Kit</t>
  </si>
  <si>
    <t>03LS1A04 = 1VHB000004</t>
  </si>
  <si>
    <t>LABScreen PRA SA Class I Combi</t>
  </si>
  <si>
    <t>03LS2A01 = 1VHB000005</t>
  </si>
  <si>
    <t>LABScreen PRA SA Class II</t>
  </si>
  <si>
    <t>03LSAB2 = 1VHB000006</t>
  </si>
  <si>
    <t>PE conjugated Goat anti-human IgG</t>
  </si>
  <si>
    <t>1000 tests</t>
  </si>
  <si>
    <t>03LSM12 = 1VHB000007</t>
  </si>
  <si>
    <t>LABScreen Mixed Class I &amp; II</t>
  </si>
  <si>
    <t>03LSNC = 1VHB000008</t>
  </si>
  <si>
    <t>LABScreen negative control serum</t>
  </si>
  <si>
    <t>20 tests</t>
  </si>
  <si>
    <t>03ADSORB  = 1VHB000009</t>
  </si>
  <si>
    <t>Adsorb out beads</t>
  </si>
  <si>
    <t>03SSP1L = 1VHB000012</t>
  </si>
  <si>
    <t>Micro SSP HLA Class I Generic Kit – ABC</t>
  </si>
  <si>
    <t>Pack 10</t>
  </si>
  <si>
    <t>03SSP2L = 1VHB000013</t>
  </si>
  <si>
    <t>Micro SSP HLA Class II Generic Kit (DRB/DQB)</t>
  </si>
  <si>
    <t>Pack 30</t>
  </si>
  <si>
    <t>03SSPDRQP1 = 1VHB00014</t>
  </si>
  <si>
    <t>Micro SSP HLA Class II Generic Kit (DRB/DQB/DPB1)</t>
  </si>
  <si>
    <t>10 tests</t>
  </si>
  <si>
    <t>CL3112 =1VHB000017</t>
  </si>
  <si>
    <t>Standard Rabbit Complement</t>
  </si>
  <si>
    <t>2 ml</t>
  </si>
  <si>
    <t>CL3111</t>
  </si>
  <si>
    <t>25x1 ml</t>
  </si>
  <si>
    <t>CL3331</t>
  </si>
  <si>
    <t>Low Tox H</t>
  </si>
  <si>
    <t>Each</t>
  </si>
  <si>
    <t>CL5020 =1VHB000018</t>
  </si>
  <si>
    <t>Lympholyte-H</t>
  </si>
  <si>
    <t>500 ml</t>
  </si>
  <si>
    <t>03TH72-100 = VHB00027</t>
  </si>
  <si>
    <t>Terasaki trays, 72 well</t>
  </si>
  <si>
    <t>Pack 100</t>
  </si>
  <si>
    <t>03DM5405</t>
  </si>
  <si>
    <t>Micro SSP D-mix, 5x 540 ul vials</t>
  </si>
  <si>
    <t>Pack 5</t>
  </si>
  <si>
    <t>03LF21002D</t>
  </si>
  <si>
    <t>HLA Class I Dynabeads</t>
  </si>
  <si>
    <t>03LF21004D</t>
  </si>
  <si>
    <t>HLA Class II Dynabeads</t>
  </si>
  <si>
    <t>LABType® CWD Class I A Locus</t>
  </si>
  <si>
    <t>100 Tests</t>
  </si>
  <si>
    <t>LABType® CWD Class I B Locus</t>
  </si>
  <si>
    <t>LABType® XR Class I B Locus Typing Test</t>
  </si>
  <si>
    <t>LABType® CWD Class I C Locus</t>
  </si>
  <si>
    <t>LABType® CWD Class II DRB1</t>
  </si>
  <si>
    <t>LABType® SSO Class II DRB3,4,5</t>
  </si>
  <si>
    <t>LABType® SSO Class II DPA1/DPB1</t>
  </si>
  <si>
    <t>LABType® SSO Class II DQA1/DQB1</t>
  </si>
  <si>
    <t>03LTSAPE</t>
  </si>
  <si>
    <t>PE Conjugated Streptavidin</t>
  </si>
  <si>
    <t>2000 Tests</t>
  </si>
  <si>
    <t>Taq Polymerase 75ul</t>
  </si>
  <si>
    <t>03F3DIVD-CAL-K25</t>
  </si>
  <si>
    <t>FlexMAP 3D Calibration Kit</t>
  </si>
  <si>
    <t>25 Tests</t>
  </si>
  <si>
    <t>03F3DIVD-PVER-K25</t>
  </si>
  <si>
    <t>FlexMAP 3D Performance Verification Kit</t>
  </si>
  <si>
    <t>96 Well Plate Sealer</t>
  </si>
  <si>
    <t>03CN-0221-01</t>
  </si>
  <si>
    <t>Sample Probe Needle</t>
  </si>
  <si>
    <t>1VHB00000A</t>
  </si>
  <si>
    <t>Dry ice shipping charge</t>
  </si>
  <si>
    <t>1VHB00000B</t>
  </si>
  <si>
    <t>Standard Delivery charge</t>
  </si>
  <si>
    <t>Current quote</t>
  </si>
  <si>
    <t>Q2021-0000823</t>
  </si>
  <si>
    <t>I:\HLA Typing Section RB\Section Orders\VHBio\Quote expires April 2022 Q2021-0000823.pdf</t>
  </si>
  <si>
    <t>Ammonium sulphide PCR Buffer</t>
  </si>
  <si>
    <t>1.25ml</t>
  </si>
  <si>
    <t>https://www.thermofisher.com/order/catalog/product/EP0406?SID=srch-hj-ep0406</t>
  </si>
  <si>
    <t>B27 Master Mix</t>
  </si>
  <si>
    <t>Betaine solution</t>
  </si>
  <si>
    <t>B0300-1VL</t>
  </si>
  <si>
    <t>5M</t>
  </si>
  <si>
    <t>Flow cell 2-8C, Cartridge -15 to -30C</t>
  </si>
  <si>
    <t>-80C to -20C, buffers stored at -80C to +25C</t>
  </si>
  <si>
    <t>MgCl2 25mM</t>
  </si>
  <si>
    <t>Primer: B27F</t>
  </si>
  <si>
    <t>SOP 1407 HLA B27 Genotyping</t>
  </si>
  <si>
    <t>Primer: B27R</t>
  </si>
  <si>
    <t>Primer: B27R2</t>
  </si>
  <si>
    <t xml:space="preserve">Primer: DRA F </t>
  </si>
  <si>
    <t xml:space="preserve">Primer: DRA R </t>
  </si>
  <si>
    <t>QU-003112</t>
  </si>
  <si>
    <t>I:\HLA Typing Section RB\Section Orders\Alpha Biotech\QuoteRobBradshaw22-11-19.pdf</t>
  </si>
  <si>
    <t>Qubit dsDNA kit</t>
  </si>
  <si>
    <t>Q32853</t>
  </si>
  <si>
    <t>500 tests</t>
  </si>
  <si>
    <t>3 x 75ul</t>
  </si>
  <si>
    <t>xMap Sheath Fluid</t>
  </si>
  <si>
    <t>List price</t>
  </si>
  <si>
    <t>https://uk.vwr.com/store/product/2344015/edta-disodium-salt-0-1-nbsp-m-edta-na2-in-aqueous-solution-reag-ph-eur-volumetric-solution-for-complexometry-flukatm</t>
  </si>
  <si>
    <t>EasySep Direct Hu Total Lymph Iso Kit</t>
  </si>
  <si>
    <t>Q-265423</t>
  </si>
  <si>
    <t>EasySep Dir HLA T cell Isolation kit IVD</t>
  </si>
  <si>
    <t xml:space="preserve">EasySep Dir HLA B Cell Iso Kit IVD </t>
  </si>
  <si>
    <t>In House</t>
  </si>
  <si>
    <t>0800 917 8776</t>
  </si>
  <si>
    <t>BDUK_customerservice@bd.com</t>
  </si>
  <si>
    <t>VH Bio Ltd, 
11B Station Approach, Gateshead NE11 0ZF, 
0191 4958210, 
info@vhbio.com</t>
  </si>
  <si>
    <t>LABType Wash Buffer - 500ml</t>
  </si>
  <si>
    <t>0116 2359023</t>
  </si>
  <si>
    <t>68 Boston Road, Beaumont Leys, Leicester, LE4 1AW</t>
  </si>
  <si>
    <t>Sarstedt Ltd</t>
  </si>
  <si>
    <t>Black 7950 Series Thermal Transfer Printer ink</t>
  </si>
  <si>
    <t>Brady Corporation Ltd</t>
  </si>
  <si>
    <t>Wildmere Industrial Estate, Banbury, Oxfordshire, OX16 3JU</t>
  </si>
  <si>
    <t>01295 228288</t>
  </si>
  <si>
    <t>R7950 65mmx70m /O</t>
  </si>
  <si>
    <t>Labels - For thermal transfer (Freezerbondz)</t>
  </si>
  <si>
    <t>THT-127-461-3</t>
  </si>
  <si>
    <t>https://www.brady.co.uk/labels/thermal-transfer-printable-labels-pid-tht-127-461-3</t>
  </si>
  <si>
    <t>https://www.brady.co.uk/ribbons-cartridges/black-7950-series-thermal-transfer-printer-ribbon-pid-804467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</si>
</sst>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6" formatCode="&quot;£&quot;#,##0;[Red]\-&quot;£&quot;#,##0"/>
    <numFmt numFmtId="7" formatCode="&quot;£&quot;#,##0.00;\-&quot;£&quot;#,##0.00"/>
    <numFmt numFmtId="8" formatCode="&quot;£&quot;#,##0.00;[Red]\-&quot;£&quot;#,##0.00"/>
    <numFmt numFmtId="164" formatCode="&quot;£&quot;#,##0.00"/>
  </numFmts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000000"/>
      <name val="Calibri"/>
      <family val="2"/>
    </font>
    <font>
      <b/>
      <sz val="10"/>
      <color rgb="FF000000"/>
      <name val="Calibri"/>
      <family val="2"/>
    </font>
    <font>
      <b/>
      <sz val="14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rgb="FF000000"/>
      <name val="Tahoma"/>
      <family val="2"/>
    </font>
    <font>
      <sz val="11"/>
      <color rgb="FF000000"/>
      <name val="Calibri"/>
      <family val="2"/>
    </font>
    <font>
      <sz val="9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0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59999389629810485"/>
        <bgColor indexed="64"/>
      </patternFill>
    </fill>
  </fills>
  <borders count="23">
    <border>
      <left/>
      <right/>
      <top/>
      <bottom/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dashed">
        <color auto="1"/>
      </bottom>
      <diagonal/>
    </border>
    <border>
      <left style="thin">
        <color auto="1"/>
      </left>
      <right style="thin">
        <color auto="1"/>
      </right>
      <top style="dashed">
        <color auto="1"/>
      </top>
      <bottom style="dashed">
        <color auto="1"/>
      </bottom>
      <diagonal/>
    </border>
    <border>
      <left style="thin">
        <color auto="1"/>
      </left>
      <right style="thin">
        <color auto="1"/>
      </right>
      <top style="dashed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dashed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dashed">
        <color auto="1"/>
      </top>
      <bottom/>
      <diagonal/>
    </border>
    <border>
      <left style="thin">
        <color auto="1"/>
      </left>
      <right/>
      <top/>
      <bottom style="dashed">
        <color auto="1"/>
      </bottom>
      <diagonal/>
    </border>
    <border>
      <left/>
      <right style="thin">
        <color auto="1"/>
      </right>
      <top/>
      <bottom style="dashed">
        <color auto="1"/>
      </bottom>
      <diagonal/>
    </border>
  </borders>
  <cellStyleXfs count="2">
    <xf numFmtId="0" fontId="0" fillId="0" borderId="0"/>
    <xf numFmtId="0" fontId="5" fillId="0" borderId="0" applyNumberFormat="0" applyFill="0" applyBorder="0" applyAlignment="0" applyProtection="0"/>
  </cellStyleXfs>
  <cellXfs count="107">
    <xf numFmtId="0" fontId="0" fillId="0" borderId="0" xfId="0"/>
    <xf numFmtId="0" fontId="1" fillId="2" borderId="0" xfId="0" applyFont="1" applyFill="1"/>
    <xf numFmtId="0" fontId="0" fillId="2" borderId="0" xfId="0" applyFill="1"/>
    <xf numFmtId="49" fontId="0" fillId="2" borderId="0" xfId="0" applyNumberFormat="1" applyFill="1"/>
    <xf numFmtId="0" fontId="0" fillId="2" borderId="0" xfId="0" applyFill="1" applyAlignment="1">
      <alignment horizontal="fill"/>
    </xf>
    <xf numFmtId="164" fontId="0" fillId="2" borderId="0" xfId="0" applyNumberFormat="1" applyFill="1"/>
    <xf numFmtId="0" fontId="0" fillId="2" borderId="0" xfId="0" applyFill="1" applyAlignment="1">
      <alignment horizontal="fill" vertical="center"/>
    </xf>
    <xf numFmtId="0" fontId="4" fillId="2" borderId="0" xfId="0" applyFont="1" applyFill="1"/>
    <xf numFmtId="49" fontId="4" fillId="2" borderId="0" xfId="0" applyNumberFormat="1" applyFont="1" applyFill="1"/>
    <xf numFmtId="0" fontId="4" fillId="2" borderId="0" xfId="0" applyFont="1" applyFill="1" applyAlignment="1">
      <alignment horizontal="fill"/>
    </xf>
    <xf numFmtId="164" fontId="4" fillId="2" borderId="0" xfId="0" applyNumberFormat="1" applyFont="1" applyFill="1"/>
    <xf numFmtId="0" fontId="4" fillId="2" borderId="0" xfId="0" applyFont="1" applyFill="1" applyAlignment="1">
      <alignment horizontal="fill" vertical="center"/>
    </xf>
    <xf numFmtId="0" fontId="4" fillId="0" borderId="0" xfId="0" applyFont="1"/>
    <xf numFmtId="0" fontId="1" fillId="0" borderId="0" xfId="0" applyFont="1" applyAlignment="1">
      <alignment vertical="center"/>
    </xf>
    <xf numFmtId="0" fontId="0" fillId="0" borderId="0" xfId="0" applyFont="1" applyAlignment="1">
      <alignment vertical="center"/>
    </xf>
    <xf numFmtId="49" fontId="0" fillId="0" borderId="0" xfId="0" applyNumberFormat="1" applyAlignment="1">
      <alignment vertical="center"/>
    </xf>
    <xf numFmtId="0" fontId="0" fillId="0" borderId="0" xfId="0" applyAlignment="1">
      <alignment vertical="center"/>
    </xf>
    <xf numFmtId="0" fontId="5" fillId="0" borderId="0" xfId="1" applyAlignment="1">
      <alignment horizontal="fill" vertical="center"/>
    </xf>
    <xf numFmtId="164" fontId="0" fillId="0" borderId="0" xfId="0" applyNumberFormat="1" applyAlignment="1">
      <alignment vertical="center"/>
    </xf>
    <xf numFmtId="0" fontId="0" fillId="0" borderId="0" xfId="0" applyAlignment="1">
      <alignment horizontal="fill" vertical="center"/>
    </xf>
    <xf numFmtId="8" fontId="0" fillId="0" borderId="0" xfId="0" applyNumberFormat="1" applyAlignment="1">
      <alignment vertical="center"/>
    </xf>
    <xf numFmtId="0" fontId="1" fillId="0" borderId="0" xfId="0" applyFont="1"/>
    <xf numFmtId="49" fontId="0" fillId="0" borderId="0" xfId="0" applyNumberFormat="1"/>
    <xf numFmtId="0" fontId="0" fillId="0" borderId="0" xfId="0" applyAlignment="1">
      <alignment horizontal="fill"/>
    </xf>
    <xf numFmtId="164" fontId="0" fillId="0" borderId="0" xfId="0" applyNumberFormat="1"/>
    <xf numFmtId="0" fontId="1" fillId="2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left" vertical="center"/>
    </xf>
    <xf numFmtId="0" fontId="1" fillId="0" borderId="0" xfId="0" applyFont="1" applyAlignment="1">
      <alignment horizontal="center" vertical="center"/>
    </xf>
    <xf numFmtId="14" fontId="0" fillId="0" borderId="0" xfId="0" applyNumberFormat="1"/>
    <xf numFmtId="0" fontId="1" fillId="3" borderId="0" xfId="0" applyFont="1" applyFill="1"/>
    <xf numFmtId="0" fontId="0" fillId="3" borderId="0" xfId="0" applyFill="1"/>
    <xf numFmtId="0" fontId="1" fillId="0" borderId="1" xfId="0" applyFont="1" applyBorder="1" applyAlignment="1">
      <alignment horizontal="left" vertical="center"/>
    </xf>
    <xf numFmtId="0" fontId="1" fillId="0" borderId="1" xfId="0" applyFont="1" applyBorder="1" applyAlignment="1">
      <alignment vertical="center"/>
    </xf>
    <xf numFmtId="0" fontId="4" fillId="0" borderId="2" xfId="0" applyFont="1" applyBorder="1" applyAlignment="1">
      <alignment horizontal="center" vertical="center"/>
    </xf>
    <xf numFmtId="0" fontId="0" fillId="0" borderId="2" xfId="0" applyBorder="1" applyAlignment="1">
      <alignment vertical="center"/>
    </xf>
    <xf numFmtId="0" fontId="0" fillId="0" borderId="0" xfId="0" applyFont="1"/>
    <xf numFmtId="0" fontId="0" fillId="0" borderId="2" xfId="0" applyBorder="1"/>
    <xf numFmtId="14" fontId="0" fillId="0" borderId="2" xfId="0" applyNumberFormat="1" applyBorder="1"/>
    <xf numFmtId="0" fontId="0" fillId="0" borderId="1" xfId="0" applyBorder="1"/>
    <xf numFmtId="0" fontId="0" fillId="0" borderId="8" xfId="0" applyBorder="1"/>
    <xf numFmtId="0" fontId="0" fillId="0" borderId="11" xfId="0" applyBorder="1" applyAlignment="1">
      <alignment vertical="center"/>
    </xf>
    <xf numFmtId="0" fontId="0" fillId="0" borderId="11" xfId="0" applyBorder="1" applyAlignment="1">
      <alignment horizontal="left" vertical="center" wrapText="1"/>
    </xf>
    <xf numFmtId="0" fontId="0" fillId="0" borderId="12" xfId="0" applyBorder="1" applyAlignment="1">
      <alignment vertical="center"/>
    </xf>
    <xf numFmtId="0" fontId="0" fillId="0" borderId="12" xfId="0" applyBorder="1" applyAlignment="1">
      <alignment horizontal="left" vertical="center" wrapText="1"/>
    </xf>
    <xf numFmtId="0" fontId="0" fillId="0" borderId="12" xfId="0" applyBorder="1" applyAlignment="1">
      <alignment vertical="center" wrapText="1"/>
    </xf>
    <xf numFmtId="7" fontId="0" fillId="0" borderId="12" xfId="0" applyNumberFormat="1" applyBorder="1" applyAlignment="1">
      <alignment horizontal="left" vertical="center" wrapText="1"/>
    </xf>
    <xf numFmtId="0" fontId="0" fillId="0" borderId="13" xfId="0" applyBorder="1" applyAlignment="1">
      <alignment vertical="center"/>
    </xf>
    <xf numFmtId="14" fontId="0" fillId="0" borderId="13" xfId="0" applyNumberFormat="1" applyBorder="1" applyAlignment="1">
      <alignment horizontal="left" vertical="center" wrapText="1"/>
    </xf>
    <xf numFmtId="0" fontId="0" fillId="0" borderId="0" xfId="0" applyBorder="1" applyAlignment="1">
      <alignment vertical="center"/>
    </xf>
    <xf numFmtId="0" fontId="8" fillId="0" borderId="10" xfId="0" applyFont="1" applyBorder="1" applyAlignment="1">
      <alignment horizontal="right" vertical="center"/>
    </xf>
    <xf numFmtId="0" fontId="8" fillId="0" borderId="5" xfId="0" applyFont="1" applyBorder="1" applyAlignment="1">
      <alignment horizontal="left" vertical="center" wrapText="1"/>
    </xf>
    <xf numFmtId="0" fontId="8" fillId="0" borderId="16" xfId="0" applyFont="1" applyBorder="1" applyAlignment="1">
      <alignment horizontal="right" vertical="center"/>
    </xf>
    <xf numFmtId="0" fontId="8" fillId="0" borderId="8" xfId="0" applyFont="1" applyBorder="1" applyAlignment="1">
      <alignment horizontal="left" vertical="center" wrapText="1"/>
    </xf>
    <xf numFmtId="0" fontId="8" fillId="0" borderId="8" xfId="0" applyFont="1" applyBorder="1" applyAlignment="1">
      <alignment vertical="center"/>
    </xf>
    <xf numFmtId="0" fontId="8" fillId="0" borderId="17" xfId="0" applyFont="1" applyBorder="1" applyAlignment="1">
      <alignment horizontal="right" vertical="center"/>
    </xf>
    <xf numFmtId="7" fontId="8" fillId="0" borderId="7" xfId="0" applyNumberFormat="1" applyFont="1" applyBorder="1" applyAlignment="1">
      <alignment horizontal="left" vertical="center" wrapText="1"/>
    </xf>
    <xf numFmtId="0" fontId="0" fillId="0" borderId="18" xfId="0" applyBorder="1" applyAlignment="1">
      <alignment vertical="center"/>
    </xf>
    <xf numFmtId="0" fontId="0" fillId="0" borderId="18" xfId="0" applyBorder="1" applyAlignment="1">
      <alignment horizontal="left" vertical="center" wrapText="1"/>
    </xf>
    <xf numFmtId="0" fontId="4" fillId="5" borderId="0" xfId="0" applyFont="1" applyFill="1" applyAlignment="1">
      <alignment horizontal="left" vertical="center"/>
    </xf>
    <xf numFmtId="0" fontId="4" fillId="5" borderId="0" xfId="0" applyFont="1" applyFill="1"/>
    <xf numFmtId="49" fontId="4" fillId="5" borderId="0" xfId="0" applyNumberFormat="1" applyFont="1" applyFill="1"/>
    <xf numFmtId="0" fontId="5" fillId="0" borderId="0" xfId="1" applyAlignment="1">
      <alignment vertical="center"/>
    </xf>
    <xf numFmtId="0" fontId="1" fillId="0" borderId="0" xfId="0" applyFont="1" applyAlignment="1">
      <alignment vertical="center" wrapText="1"/>
    </xf>
    <xf numFmtId="0" fontId="0" fillId="0" borderId="0" xfId="0" applyAlignment="1">
      <alignment horizontal="right" vertical="center"/>
    </xf>
    <xf numFmtId="0" fontId="0" fillId="0" borderId="0" xfId="0" applyAlignment="1">
      <alignment vertical="center" wrapText="1"/>
    </xf>
    <xf numFmtId="0" fontId="4" fillId="6" borderId="19" xfId="0" applyFont="1" applyFill="1" applyBorder="1" applyAlignment="1">
      <alignment horizontal="center" vertical="center"/>
    </xf>
    <xf numFmtId="0" fontId="4" fillId="6" borderId="19" xfId="0" applyFont="1" applyFill="1" applyBorder="1" applyAlignment="1">
      <alignment horizontal="center"/>
    </xf>
    <xf numFmtId="49" fontId="4" fillId="6" borderId="19" xfId="0" applyNumberFormat="1" applyFont="1" applyFill="1" applyBorder="1" applyAlignment="1">
      <alignment horizontal="center"/>
    </xf>
    <xf numFmtId="0" fontId="0" fillId="0" borderId="11" xfId="0" applyFont="1" applyBorder="1"/>
    <xf numFmtId="0" fontId="10" fillId="0" borderId="11" xfId="0" applyFont="1" applyBorder="1" applyAlignment="1">
      <alignment horizontal="left"/>
    </xf>
    <xf numFmtId="164" fontId="0" fillId="0" borderId="11" xfId="0" applyNumberFormat="1" applyFont="1" applyBorder="1" applyAlignment="1">
      <alignment horizontal="left"/>
    </xf>
    <xf numFmtId="0" fontId="0" fillId="0" borderId="11" xfId="0" applyFont="1" applyBorder="1" applyAlignment="1">
      <alignment horizontal="left"/>
    </xf>
    <xf numFmtId="0" fontId="0" fillId="0" borderId="12" xfId="0" applyFont="1" applyBorder="1"/>
    <xf numFmtId="0" fontId="10" fillId="0" borderId="12" xfId="0" applyFont="1" applyBorder="1" applyAlignment="1">
      <alignment horizontal="left"/>
    </xf>
    <xf numFmtId="164" fontId="0" fillId="0" borderId="12" xfId="0" applyNumberFormat="1" applyFont="1" applyBorder="1" applyAlignment="1">
      <alignment horizontal="left"/>
    </xf>
    <xf numFmtId="0" fontId="0" fillId="0" borderId="12" xfId="0" applyFont="1" applyBorder="1" applyAlignment="1">
      <alignment horizontal="left"/>
    </xf>
    <xf numFmtId="0" fontId="10" fillId="0" borderId="12" xfId="0" applyFont="1" applyBorder="1"/>
    <xf numFmtId="0" fontId="0" fillId="0" borderId="20" xfId="0" applyFont="1" applyBorder="1"/>
    <xf numFmtId="0" fontId="10" fillId="0" borderId="0" xfId="0" applyFont="1"/>
    <xf numFmtId="6" fontId="0" fillId="0" borderId="20" xfId="0" applyNumberFormat="1" applyFont="1" applyBorder="1" applyAlignment="1">
      <alignment horizontal="left"/>
    </xf>
    <xf numFmtId="0" fontId="0" fillId="0" borderId="13" xfId="0" applyFont="1" applyBorder="1"/>
    <xf numFmtId="6" fontId="0" fillId="0" borderId="13" xfId="0" applyNumberFormat="1" applyFont="1" applyBorder="1" applyAlignment="1">
      <alignment horizontal="left"/>
    </xf>
    <xf numFmtId="0" fontId="0" fillId="0" borderId="8" xfId="0" applyFont="1" applyBorder="1"/>
    <xf numFmtId="0" fontId="0" fillId="0" borderId="9" xfId="0" applyFont="1" applyBorder="1"/>
    <xf numFmtId="0" fontId="0" fillId="0" borderId="0" xfId="0" applyFont="1" applyBorder="1"/>
    <xf numFmtId="0" fontId="5" fillId="0" borderId="20" xfId="1" applyBorder="1" applyAlignment="1">
      <alignment horizontal="fill"/>
    </xf>
    <xf numFmtId="0" fontId="0" fillId="0" borderId="3" xfId="0" applyBorder="1" applyAlignment="1">
      <alignment horizontal="left" vertical="top" wrapText="1"/>
    </xf>
    <xf numFmtId="0" fontId="0" fillId="0" borderId="4" xfId="0" applyBorder="1" applyAlignment="1">
      <alignment horizontal="left" vertical="top" wrapText="1"/>
    </xf>
    <xf numFmtId="0" fontId="0" fillId="0" borderId="5" xfId="0" applyBorder="1" applyAlignment="1">
      <alignment horizontal="left" vertical="top" wrapText="1"/>
    </xf>
    <xf numFmtId="0" fontId="0" fillId="0" borderId="6" xfId="0" applyBorder="1" applyAlignment="1">
      <alignment horizontal="left" vertical="top" wrapText="1"/>
    </xf>
    <xf numFmtId="0" fontId="0" fillId="0" borderId="1" xfId="0" applyBorder="1" applyAlignment="1">
      <alignment horizontal="left" vertical="top" wrapText="1"/>
    </xf>
    <xf numFmtId="0" fontId="0" fillId="0" borderId="7" xfId="0" applyBorder="1" applyAlignment="1">
      <alignment horizontal="left" vertical="top" wrapText="1"/>
    </xf>
    <xf numFmtId="0" fontId="0" fillId="0" borderId="0" xfId="0" applyAlignment="1">
      <alignment vertical="center" wrapText="1"/>
    </xf>
    <xf numFmtId="0" fontId="0" fillId="0" borderId="0" xfId="0" applyAlignment="1"/>
    <xf numFmtId="0" fontId="0" fillId="0" borderId="9" xfId="0" applyBorder="1" applyAlignment="1">
      <alignment horizontal="left" vertical="top" wrapText="1"/>
    </xf>
    <xf numFmtId="0" fontId="0" fillId="0" borderId="0" xfId="0" applyAlignment="1">
      <alignment horizontal="left" vertical="top" wrapText="1"/>
    </xf>
    <xf numFmtId="0" fontId="0" fillId="0" borderId="8" xfId="0" applyBorder="1" applyAlignment="1">
      <alignment horizontal="left" vertical="top" wrapText="1"/>
    </xf>
    <xf numFmtId="0" fontId="9" fillId="4" borderId="10" xfId="0" applyFont="1" applyFill="1" applyBorder="1" applyAlignment="1">
      <alignment horizontal="center" vertical="center"/>
    </xf>
    <xf numFmtId="0" fontId="9" fillId="4" borderId="14" xfId="0" applyFont="1" applyFill="1" applyBorder="1" applyAlignment="1">
      <alignment horizontal="center" vertical="center"/>
    </xf>
    <xf numFmtId="0" fontId="9" fillId="4" borderId="15" xfId="0" applyFont="1" applyFill="1" applyBorder="1" applyAlignment="1">
      <alignment horizontal="center" vertical="center"/>
    </xf>
    <xf numFmtId="0" fontId="4" fillId="6" borderId="19" xfId="0" applyFont="1" applyFill="1" applyBorder="1" applyAlignment="1">
      <alignment horizontal="center" vertical="center"/>
    </xf>
    <xf numFmtId="0" fontId="0" fillId="0" borderId="19" xfId="0" applyFont="1" applyBorder="1" applyAlignment="1">
      <alignment horizontal="center"/>
    </xf>
    <xf numFmtId="0" fontId="0" fillId="0" borderId="3" xfId="0" applyFont="1" applyBorder="1" applyAlignment="1">
      <alignment horizontal="left" vertical="center" wrapText="1"/>
    </xf>
    <xf numFmtId="0" fontId="0" fillId="0" borderId="5" xfId="0" applyBorder="1" applyAlignment="1">
      <alignment horizontal="left" vertical="center" wrapText="1"/>
    </xf>
    <xf numFmtId="0" fontId="0" fillId="0" borderId="21" xfId="0" applyBorder="1" applyAlignment="1">
      <alignment horizontal="left" vertical="center" wrapText="1"/>
    </xf>
    <xf numFmtId="0" fontId="0" fillId="0" borderId="22" xfId="0" applyBorder="1" applyAlignment="1">
      <alignment horizontal="left" vertical="center" wrapText="1"/>
    </xf>
    <xf numFmtId="0" fontId="0" fillId="0" borderId="0" xfId="0" applyAlignment="1">
      <alignment horizontal="fill" vertical="center" wrapText="1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lockText="1" noThreeD="1"/>
</file>

<file path=xl/ctrlProps/ctrlProp7.xml><?xml version="1.0" encoding="utf-8"?>
<formControlPr xmlns="http://schemas.microsoft.com/office/spreadsheetml/2009/9/main" objectType="CheckBox" lockText="1" noThreeD="1"/>
</file>

<file path=xl/ctrlProps/ctrlProp8.xml><?xml version="1.0" encoding="utf-8"?>
<formControlPr xmlns="http://schemas.microsoft.com/office/spreadsheetml/2009/9/main" objectType="CheckBox" lockText="1" noThreeD="1"/>
</file>

<file path=xl/ctrlProps/ctrlProp9.xml><?xml version="1.0" encoding="utf-8"?>
<formControlPr xmlns="http://schemas.microsoft.com/office/spreadsheetml/2009/9/main" objectType="CheckBox" lockText="1" noThreeD="1"/>
</file>

<file path=xl/ctrlProps/ctrlProp10.xml><?xml version="1.0" encoding="utf-8"?>
<formControlPr xmlns="http://schemas.microsoft.com/office/spreadsheetml/2009/9/main" objectType="CheckBox" lockText="1" noThreeD="1"/>
</file>

<file path=xl/ctrlProps/ctrlProp11.xml><?xml version="1.0" encoding="utf-8"?>
<formControlPr xmlns="http://schemas.microsoft.com/office/spreadsheetml/2009/9/main" objectType="CheckBox" lockText="1" noThreeD="1"/>
</file>

<file path=xl/ctrlProps/ctrlProp12.xml><?xml version="1.0" encoding="utf-8"?>
<formControlPr xmlns="http://schemas.microsoft.com/office/spreadsheetml/2009/9/main" objectType="CheckBox" lockText="1" noThreeD="1"/>
</file>

<file path=xl/ctrlProps/ctrlProp13.xml><?xml version="1.0" encoding="utf-8"?>
<formControlPr xmlns="http://schemas.microsoft.com/office/spreadsheetml/2009/9/main" objectType="CheckBox" lockText="1" noThreeD="1"/>
</file>

<file path=xl/ctrlProps/ctrlProp14.xml><?xml version="1.0" encoding="utf-8"?>
<formControlPr xmlns="http://schemas.microsoft.com/office/spreadsheetml/2009/9/main" objectType="CheckBox" lockText="1" noThreeD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CheckBox" lockText="1" noThreeD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114300</xdr:colOff>
          <xdr:row>0</xdr:row>
          <xdr:rowOff>28575</xdr:rowOff>
        </xdr:from>
        <xdr:to>
          <xdr:col>0</xdr:col>
          <xdr:colOff>1095375</xdr:colOff>
          <xdr:row>0</xdr:row>
          <xdr:rowOff>581025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Order item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2305050</xdr:colOff>
          <xdr:row>0</xdr:row>
          <xdr:rowOff>38100</xdr:rowOff>
        </xdr:from>
        <xdr:to>
          <xdr:col>0</xdr:col>
          <xdr:colOff>3248025</xdr:colOff>
          <xdr:row>0</xdr:row>
          <xdr:rowOff>590550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Book in item to Inventory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1209675</xdr:colOff>
          <xdr:row>0</xdr:row>
          <xdr:rowOff>38100</xdr:rowOff>
        </xdr:from>
        <xdr:to>
          <xdr:col>0</xdr:col>
          <xdr:colOff>2190750</xdr:colOff>
          <xdr:row>0</xdr:row>
          <xdr:rowOff>581025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0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Order multiple items from same supplier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85725</xdr:colOff>
          <xdr:row>0</xdr:row>
          <xdr:rowOff>76200</xdr:rowOff>
        </xdr:from>
        <xdr:to>
          <xdr:col>0</xdr:col>
          <xdr:colOff>1038225</xdr:colOff>
          <xdr:row>0</xdr:row>
          <xdr:rowOff>552450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2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Verify stock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190500</xdr:colOff>
          <xdr:row>6</xdr:row>
          <xdr:rowOff>180975</xdr:rowOff>
        </xdr:from>
        <xdr:to>
          <xdr:col>4</xdr:col>
          <xdr:colOff>495300</xdr:colOff>
          <xdr:row>8</xdr:row>
          <xdr:rowOff>0</xdr:rowOff>
        </xdr:to>
        <xdr:sp macro="" textlink="">
          <xdr:nvSpPr>
            <xdr:cNvPr id="3073" name="Check Box 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190500</xdr:colOff>
          <xdr:row>6</xdr:row>
          <xdr:rowOff>180975</xdr:rowOff>
        </xdr:from>
        <xdr:to>
          <xdr:col>8</xdr:col>
          <xdr:colOff>0</xdr:colOff>
          <xdr:row>7</xdr:row>
          <xdr:rowOff>171450</xdr:rowOff>
        </xdr:to>
        <xdr:sp macro="" textlink="">
          <xdr:nvSpPr>
            <xdr:cNvPr id="3074" name="Check Box 2" hidden="1">
              <a:extLst>
                <a:ext uri="{63B3BB69-23CF-44E3-9099-C40C66FF867C}">
                  <a14:compatExt spid="_x0000_s307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 (describe below)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171450</xdr:colOff>
          <xdr:row>11</xdr:row>
          <xdr:rowOff>0</xdr:rowOff>
        </xdr:from>
        <xdr:to>
          <xdr:col>6</xdr:col>
          <xdr:colOff>0</xdr:colOff>
          <xdr:row>12</xdr:row>
          <xdr:rowOff>28575</xdr:rowOff>
        </xdr:to>
        <xdr:sp macro="" textlink="">
          <xdr:nvSpPr>
            <xdr:cNvPr id="3075" name="Check Box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238125</xdr:colOff>
          <xdr:row>11</xdr:row>
          <xdr:rowOff>0</xdr:rowOff>
        </xdr:from>
        <xdr:to>
          <xdr:col>6</xdr:col>
          <xdr:colOff>542925</xdr:colOff>
          <xdr:row>12</xdr:row>
          <xdr:rowOff>9525</xdr:rowOff>
        </xdr:to>
        <xdr:sp macro="" textlink="">
          <xdr:nvSpPr>
            <xdr:cNvPr id="3076" name="Check Box 4" hidden="1">
              <a:extLst>
                <a:ext uri="{63B3BB69-23CF-44E3-9099-C40C66FF867C}">
                  <a14:compatExt spid="_x0000_s307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180975</xdr:colOff>
          <xdr:row>12</xdr:row>
          <xdr:rowOff>9525</xdr:rowOff>
        </xdr:from>
        <xdr:to>
          <xdr:col>6</xdr:col>
          <xdr:colOff>104775</xdr:colOff>
          <xdr:row>13</xdr:row>
          <xdr:rowOff>9525</xdr:rowOff>
        </xdr:to>
        <xdr:sp macro="" textlink="">
          <xdr:nvSpPr>
            <xdr:cNvPr id="3077" name="Check Box 5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Yes (go to final section*)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238125</xdr:colOff>
          <xdr:row>12</xdr:row>
          <xdr:rowOff>0</xdr:rowOff>
        </xdr:from>
        <xdr:to>
          <xdr:col>6</xdr:col>
          <xdr:colOff>542925</xdr:colOff>
          <xdr:row>13</xdr:row>
          <xdr:rowOff>9525</xdr:rowOff>
        </xdr:to>
        <xdr:sp macro="" textlink="">
          <xdr:nvSpPr>
            <xdr:cNvPr id="3078" name="Check Box 6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190500</xdr:colOff>
          <xdr:row>24</xdr:row>
          <xdr:rowOff>209550</xdr:rowOff>
        </xdr:from>
        <xdr:to>
          <xdr:col>4</xdr:col>
          <xdr:colOff>495300</xdr:colOff>
          <xdr:row>26</xdr:row>
          <xdr:rowOff>0</xdr:rowOff>
        </xdr:to>
        <xdr:sp macro="" textlink="">
          <xdr:nvSpPr>
            <xdr:cNvPr id="3079" name="Check Box 7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Yes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238125</xdr:colOff>
          <xdr:row>25</xdr:row>
          <xdr:rowOff>0</xdr:rowOff>
        </xdr:from>
        <xdr:to>
          <xdr:col>8</xdr:col>
          <xdr:colOff>542925</xdr:colOff>
          <xdr:row>26</xdr:row>
          <xdr:rowOff>0</xdr:rowOff>
        </xdr:to>
        <xdr:sp macro="" textlink="">
          <xdr:nvSpPr>
            <xdr:cNvPr id="3080" name="Check Box 8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 (describe corrective actions)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180975</xdr:colOff>
          <xdr:row>38</xdr:row>
          <xdr:rowOff>9525</xdr:rowOff>
        </xdr:from>
        <xdr:to>
          <xdr:col>6</xdr:col>
          <xdr:colOff>104775</xdr:colOff>
          <xdr:row>39</xdr:row>
          <xdr:rowOff>9525</xdr:rowOff>
        </xdr:to>
        <xdr:sp macro="" textlink="">
          <xdr:nvSpPr>
            <xdr:cNvPr id="3081" name="Check Box 9" hidden="1">
              <a:extLst>
                <a:ext uri="{63B3BB69-23CF-44E3-9099-C40C66FF867C}">
                  <a14:compatExt spid="_x0000_s308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Yes (describe below)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238125</xdr:colOff>
          <xdr:row>38</xdr:row>
          <xdr:rowOff>0</xdr:rowOff>
        </xdr:from>
        <xdr:to>
          <xdr:col>6</xdr:col>
          <xdr:colOff>542925</xdr:colOff>
          <xdr:row>39</xdr:row>
          <xdr:rowOff>9525</xdr:rowOff>
        </xdr:to>
        <xdr:sp macro="" textlink="">
          <xdr:nvSpPr>
            <xdr:cNvPr id="3082" name="Check Box 10" hidden="1">
              <a:extLst>
                <a:ext uri="{63B3BB69-23CF-44E3-9099-C40C66FF867C}">
                  <a14:compatExt spid="_x0000_s308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No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171450</xdr:colOff>
          <xdr:row>40</xdr:row>
          <xdr:rowOff>133350</xdr:rowOff>
        </xdr:from>
        <xdr:to>
          <xdr:col>1</xdr:col>
          <xdr:colOff>542925</xdr:colOff>
          <xdr:row>42</xdr:row>
          <xdr:rowOff>180975</xdr:rowOff>
        </xdr:to>
        <xdr:sp macro="" textlink="">
          <xdr:nvSpPr>
            <xdr:cNvPr id="3083" name="Button 11" hidden="1">
              <a:extLst>
                <a:ext uri="{63B3BB69-23CF-44E3-9099-C40C66FF867C}">
                  <a14:compatExt spid="_x0000_s308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Click to clear form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190500</xdr:colOff>
          <xdr:row>11</xdr:row>
          <xdr:rowOff>200025</xdr:rowOff>
        </xdr:from>
        <xdr:to>
          <xdr:col>8</xdr:col>
          <xdr:colOff>495300</xdr:colOff>
          <xdr:row>13</xdr:row>
          <xdr:rowOff>0</xdr:rowOff>
        </xdr:to>
        <xdr:sp macro="" textlink="">
          <xdr:nvSpPr>
            <xdr:cNvPr id="3084" name="Check Box 12" hidden="1">
              <a:extLst>
                <a:ext uri="{63B3BB69-23CF-44E3-9099-C40C66FF867C}">
                  <a14:compatExt spid="_x0000_s308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GB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N/A</a:t>
              </a:r>
            </a:p>
          </xdr:txBody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2</xdr:row>
      <xdr:rowOff>76200</xdr:rowOff>
    </xdr:from>
    <xdr:to>
      <xdr:col>0</xdr:col>
      <xdr:colOff>304800</xdr:colOff>
      <xdr:row>4</xdr:row>
      <xdr:rowOff>38100</xdr:rowOff>
    </xdr:to>
    <xdr:sp macro="" textlink="">
      <xdr:nvSpPr>
        <xdr:cNvPr id="2" name="TextBox 1"/>
        <xdr:cNvSpPr txBox="1"/>
      </xdr:nvSpPr>
      <xdr:spPr>
        <a:xfrm>
          <a:off x="66675" y="781050"/>
          <a:ext cx="238125" cy="26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/>
            <a:t>1</a:t>
          </a:r>
        </a:p>
      </xdr:txBody>
    </xdr:sp>
    <xdr:clientData/>
  </xdr:twoCellAnchor>
  <xdr:twoCellAnchor>
    <xdr:from>
      <xdr:col>0</xdr:col>
      <xdr:colOff>95250</xdr:colOff>
      <xdr:row>7</xdr:row>
      <xdr:rowOff>95250</xdr:rowOff>
    </xdr:from>
    <xdr:to>
      <xdr:col>0</xdr:col>
      <xdr:colOff>333375</xdr:colOff>
      <xdr:row>9</xdr:row>
      <xdr:rowOff>57150</xdr:rowOff>
    </xdr:to>
    <xdr:sp macro="" textlink="">
      <xdr:nvSpPr>
        <xdr:cNvPr id="3" name="TextBox 2"/>
        <xdr:cNvSpPr txBox="1"/>
      </xdr:nvSpPr>
      <xdr:spPr>
        <a:xfrm>
          <a:off x="95250" y="1562100"/>
          <a:ext cx="238125" cy="26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/>
            <a:t>2</a:t>
          </a:r>
        </a:p>
      </xdr:txBody>
    </xdr:sp>
    <xdr:clientData/>
  </xdr:twoCellAnchor>
  <xdr:twoCellAnchor>
    <xdr:from>
      <xdr:col>0</xdr:col>
      <xdr:colOff>85725</xdr:colOff>
      <xdr:row>22</xdr:row>
      <xdr:rowOff>76200</xdr:rowOff>
    </xdr:from>
    <xdr:to>
      <xdr:col>0</xdr:col>
      <xdr:colOff>323850</xdr:colOff>
      <xdr:row>24</xdr:row>
      <xdr:rowOff>38100</xdr:rowOff>
    </xdr:to>
    <xdr:sp macro="" textlink="">
      <xdr:nvSpPr>
        <xdr:cNvPr id="4" name="TextBox 3"/>
        <xdr:cNvSpPr txBox="1"/>
      </xdr:nvSpPr>
      <xdr:spPr>
        <a:xfrm>
          <a:off x="85725" y="3829050"/>
          <a:ext cx="238125" cy="26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/>
            <a:t>5</a:t>
          </a:r>
        </a:p>
      </xdr:txBody>
    </xdr:sp>
    <xdr:clientData/>
  </xdr:twoCellAnchor>
  <xdr:twoCellAnchor>
    <xdr:from>
      <xdr:col>0</xdr:col>
      <xdr:colOff>104775</xdr:colOff>
      <xdr:row>12</xdr:row>
      <xdr:rowOff>85725</xdr:rowOff>
    </xdr:from>
    <xdr:to>
      <xdr:col>0</xdr:col>
      <xdr:colOff>342900</xdr:colOff>
      <xdr:row>14</xdr:row>
      <xdr:rowOff>47625</xdr:rowOff>
    </xdr:to>
    <xdr:sp macro="" textlink="">
      <xdr:nvSpPr>
        <xdr:cNvPr id="5" name="TextBox 4"/>
        <xdr:cNvSpPr txBox="1"/>
      </xdr:nvSpPr>
      <xdr:spPr>
        <a:xfrm>
          <a:off x="104775" y="2314575"/>
          <a:ext cx="238125" cy="26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/>
            <a:t>3</a:t>
          </a:r>
        </a:p>
      </xdr:txBody>
    </xdr:sp>
    <xdr:clientData/>
  </xdr:twoCellAnchor>
  <xdr:twoCellAnchor>
    <xdr:from>
      <xdr:col>0</xdr:col>
      <xdr:colOff>104775</xdr:colOff>
      <xdr:row>17</xdr:row>
      <xdr:rowOff>114300</xdr:rowOff>
    </xdr:from>
    <xdr:to>
      <xdr:col>0</xdr:col>
      <xdr:colOff>342900</xdr:colOff>
      <xdr:row>19</xdr:row>
      <xdr:rowOff>76200</xdr:rowOff>
    </xdr:to>
    <xdr:sp macro="" textlink="">
      <xdr:nvSpPr>
        <xdr:cNvPr id="6" name="TextBox 5"/>
        <xdr:cNvSpPr txBox="1"/>
      </xdr:nvSpPr>
      <xdr:spPr>
        <a:xfrm>
          <a:off x="104775" y="3105150"/>
          <a:ext cx="238125" cy="26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/>
            <a:t>4</a:t>
          </a:r>
        </a:p>
      </xdr:txBody>
    </xdr:sp>
    <xdr:clientData/>
  </xdr:twoCellAnchor>
  <xdr:twoCellAnchor>
    <xdr:from>
      <xdr:col>0</xdr:col>
      <xdr:colOff>85725</xdr:colOff>
      <xdr:row>27</xdr:row>
      <xdr:rowOff>76200</xdr:rowOff>
    </xdr:from>
    <xdr:to>
      <xdr:col>0</xdr:col>
      <xdr:colOff>323850</xdr:colOff>
      <xdr:row>29</xdr:row>
      <xdr:rowOff>38100</xdr:rowOff>
    </xdr:to>
    <xdr:sp macro="" textlink="">
      <xdr:nvSpPr>
        <xdr:cNvPr id="7" name="TextBox 6"/>
        <xdr:cNvSpPr txBox="1"/>
      </xdr:nvSpPr>
      <xdr:spPr>
        <a:xfrm>
          <a:off x="85725" y="4591050"/>
          <a:ext cx="238125" cy="26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/>
            <a:t>6</a:t>
          </a:r>
        </a:p>
      </xdr:txBody>
    </xdr:sp>
    <xdr:clientData/>
  </xdr:twoCellAnchor>
  <xdr:twoCellAnchor>
    <xdr:from>
      <xdr:col>0</xdr:col>
      <xdr:colOff>85725</xdr:colOff>
      <xdr:row>32</xdr:row>
      <xdr:rowOff>104775</xdr:rowOff>
    </xdr:from>
    <xdr:to>
      <xdr:col>0</xdr:col>
      <xdr:colOff>323850</xdr:colOff>
      <xdr:row>34</xdr:row>
      <xdr:rowOff>66675</xdr:rowOff>
    </xdr:to>
    <xdr:sp macro="" textlink="">
      <xdr:nvSpPr>
        <xdr:cNvPr id="8" name="TextBox 7"/>
        <xdr:cNvSpPr txBox="1"/>
      </xdr:nvSpPr>
      <xdr:spPr>
        <a:xfrm>
          <a:off x="85725" y="5381625"/>
          <a:ext cx="238125" cy="26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/>
            <a:t>7</a:t>
          </a:r>
        </a:p>
      </xdr:txBody>
    </xdr:sp>
    <xdr:clientData/>
  </xdr:twoCellAnchor>
  <xdr:twoCellAnchor>
    <xdr:from>
      <xdr:col>0</xdr:col>
      <xdr:colOff>95250</xdr:colOff>
      <xdr:row>37</xdr:row>
      <xdr:rowOff>95250</xdr:rowOff>
    </xdr:from>
    <xdr:to>
      <xdr:col>0</xdr:col>
      <xdr:colOff>333375</xdr:colOff>
      <xdr:row>39</xdr:row>
      <xdr:rowOff>57150</xdr:rowOff>
    </xdr:to>
    <xdr:sp macro="" textlink="">
      <xdr:nvSpPr>
        <xdr:cNvPr id="9" name="TextBox 8"/>
        <xdr:cNvSpPr txBox="1"/>
      </xdr:nvSpPr>
      <xdr:spPr>
        <a:xfrm>
          <a:off x="95250" y="6134100"/>
          <a:ext cx="238125" cy="2667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/>
            <a:t>8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.bin"/><Relationship Id="rId13" Type="http://schemas.openxmlformats.org/officeDocument/2006/relationships/ctrlProp" Target="../ctrlProps/ctrlProp3.xml"/><Relationship Id="rId3" Type="http://schemas.openxmlformats.org/officeDocument/2006/relationships/hyperlink" Target="../HLA%20Typing%20Section%20RB/Section%20Orders/VHBio/Quote%20expires%20April%202022%20Q2021-0000823.pdf" TargetMode="External"/><Relationship Id="rId7" Type="http://schemas.openxmlformats.org/officeDocument/2006/relationships/hyperlink" Target="https://www.stratech.co.uk/catalogue/?query=109-096-098" TargetMode="External"/><Relationship Id="rId12" Type="http://schemas.openxmlformats.org/officeDocument/2006/relationships/ctrlProp" Target="../ctrlProps/ctrlProp2.xml"/><Relationship Id="rId2" Type="http://schemas.openxmlformats.org/officeDocument/2006/relationships/hyperlink" Target="../HLA%20Typing%20Section%20RB/Section%20Orders/Alpha%20Biotech/QuoteRobBradshaw22-11-19.pdf" TargetMode="External"/><Relationship Id="rId1" Type="http://schemas.openxmlformats.org/officeDocument/2006/relationships/hyperlink" Target="../HLA%20Typing%20Section%20RB/Section%20Orders/Alpha%20Biotech/QuoteRobBradshaw22-11-19.pdf" TargetMode="External"/><Relationship Id="rId6" Type="http://schemas.openxmlformats.org/officeDocument/2006/relationships/hyperlink" Target="https://www.bio-rad-antibodies.com/monoclonal/human-hla-dp-dq-dr-antibody-wr18-mca477.html?f=purified" TargetMode="External"/><Relationship Id="rId11" Type="http://schemas.openxmlformats.org/officeDocument/2006/relationships/ctrlProp" Target="../ctrlProps/ctrlProp1.xml"/><Relationship Id="rId5" Type="http://schemas.openxmlformats.org/officeDocument/2006/relationships/hyperlink" Target="https://uk.vwr.com/store/product/2344015/edta-disodium-salt-0-1-nbsp-m-edta-na2-in-aqueous-solution-reag-ph-eur-volumetric-solution-for-complexometry-flukatm" TargetMode="External"/><Relationship Id="rId10" Type="http://schemas.openxmlformats.org/officeDocument/2006/relationships/vmlDrawing" Target="../drawings/vmlDrawing1.vml"/><Relationship Id="rId4" Type="http://schemas.openxmlformats.org/officeDocument/2006/relationships/hyperlink" Target="../HLA%20Typing%20Section%20RB/Section%20Orders/VHBio/Quote%20expires%20April%202022%20Q2021-0000823.pdf" TargetMode="External"/><Relationship Id="rId9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13" Type="http://schemas.openxmlformats.org/officeDocument/2006/relationships/ctrlProp" Target="../ctrlProps/ctrlProp14.xml"/><Relationship Id="rId3" Type="http://schemas.openxmlformats.org/officeDocument/2006/relationships/vmlDrawing" Target="../drawings/vmlDrawing3.vml"/><Relationship Id="rId7" Type="http://schemas.openxmlformats.org/officeDocument/2006/relationships/ctrlProp" Target="../ctrlProps/ctrlProp8.xml"/><Relationship Id="rId12" Type="http://schemas.openxmlformats.org/officeDocument/2006/relationships/ctrlProp" Target="../ctrlProps/ctrlProp13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7.xml"/><Relationship Id="rId11" Type="http://schemas.openxmlformats.org/officeDocument/2006/relationships/ctrlProp" Target="../ctrlProps/ctrlProp12.xml"/><Relationship Id="rId5" Type="http://schemas.openxmlformats.org/officeDocument/2006/relationships/ctrlProp" Target="../ctrlProps/ctrlProp6.xml"/><Relationship Id="rId15" Type="http://schemas.openxmlformats.org/officeDocument/2006/relationships/ctrlProp" Target="../ctrlProps/ctrlProp16.xml"/><Relationship Id="rId10" Type="http://schemas.openxmlformats.org/officeDocument/2006/relationships/ctrlProp" Target="../ctrlProps/ctrlProp11.xml"/><Relationship Id="rId4" Type="http://schemas.openxmlformats.org/officeDocument/2006/relationships/ctrlProp" Target="../ctrlProps/ctrlProp5.xml"/><Relationship Id="rId9" Type="http://schemas.openxmlformats.org/officeDocument/2006/relationships/ctrlProp" Target="../ctrlProps/ctrlProp10.xml"/><Relationship Id="rId14" Type="http://schemas.openxmlformats.org/officeDocument/2006/relationships/ctrlProp" Target="../ctrlProps/ctrlProp15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hyperlink" Target="mailto:ukorders@lifetech.com" TargetMode="External"/><Relationship Id="rId3" Type="http://schemas.openxmlformats.org/officeDocument/2006/relationships/hyperlink" Target="mailto:info@vhbio.com" TargetMode="External"/><Relationship Id="rId7" Type="http://schemas.openxmlformats.org/officeDocument/2006/relationships/hyperlink" Target="mailto:cs.molbio.eu@thermofisher.com" TargetMode="External"/><Relationship Id="rId2" Type="http://schemas.openxmlformats.org/officeDocument/2006/relationships/hyperlink" Target="mailto:qnostics.orders@randox.com" TargetMode="External"/><Relationship Id="rId1" Type="http://schemas.openxmlformats.org/officeDocument/2006/relationships/hyperlink" Target="mailto:enquiries@alphabiotech.co.uk" TargetMode="External"/><Relationship Id="rId6" Type="http://schemas.openxmlformats.org/officeDocument/2006/relationships/hyperlink" Target="mailto:ukorders@sial.com" TargetMode="External"/><Relationship Id="rId5" Type="http://schemas.openxmlformats.org/officeDocument/2006/relationships/hyperlink" Target="mailto:antibody_orders_uk@bio-rad.com" TargetMode="External"/><Relationship Id="rId10" Type="http://schemas.openxmlformats.org/officeDocument/2006/relationships/hyperlink" Target="mailto:BDUK_customerservice@bd.com" TargetMode="External"/><Relationship Id="rId4" Type="http://schemas.openxmlformats.org/officeDocument/2006/relationships/hyperlink" Target="mailto:uksales@uk.vwr.com" TargetMode="External"/><Relationship Id="rId9" Type="http://schemas.openxmlformats.org/officeDocument/2006/relationships/hyperlink" Target="mailto:ukcustserve@promega.com" TargetMode="Externa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openxmlformats.org/officeDocument/2006/relationships/hyperlink" Target="../HLA%20Typing%20Section%20RB/Section%20Orders/VHBio/Quote%20expires%20April%202022%20Q2021-0000823.pdf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theme="3" tint="0.59999389629810485"/>
  </sheetPr>
  <dimension ref="A1:M235"/>
  <sheetViews>
    <sheetView tabSelected="1" workbookViewId="0">
      <selection activeCell="A3" sqref="A3"/>
    </sheetView>
  </sheetViews>
  <sheetFormatPr defaultRowHeight="20.100000000000001" customHeight="1" x14ac:dyDescent="0.25"/>
  <cols>
    <col min="1" max="1" width="60.42578125" style="21" customWidth="1"/>
    <col min="2" max="2" width="31.7109375" customWidth="1"/>
    <col min="3" max="3" width="22.42578125" style="22" customWidth="1"/>
    <col min="4" max="4" width="22.140625" customWidth="1"/>
    <col min="5" max="5" width="26.140625" style="22" customWidth="1"/>
    <col min="6" max="6" width="24.42578125" style="23" bestFit="1" customWidth="1"/>
    <col min="7" max="7" width="27.28515625" bestFit="1" customWidth="1"/>
    <col min="8" max="8" width="24.7109375" style="23" customWidth="1"/>
    <col min="9" max="10" width="20.28515625" style="24" customWidth="1"/>
    <col min="11" max="11" width="42.28515625" style="19" customWidth="1"/>
    <col min="12" max="12" width="44.42578125" customWidth="1"/>
    <col min="13" max="13" width="43.140625" style="23" customWidth="1"/>
  </cols>
  <sheetData>
    <row r="1" spans="1:13" ht="48.75" customHeight="1" x14ac:dyDescent="0.25">
      <c r="A1" s="1"/>
      <c r="B1" s="2"/>
      <c r="C1" s="3"/>
      <c r="D1" s="2"/>
      <c r="E1" s="3"/>
      <c r="F1" s="4"/>
      <c r="G1" s="2"/>
      <c r="H1" s="4"/>
      <c r="I1" s="5"/>
      <c r="J1" s="5"/>
      <c r="K1" s="6"/>
      <c r="L1" s="2"/>
      <c r="M1" s="4"/>
    </row>
    <row r="2" spans="1:13" s="12" customFormat="1" ht="20.100000000000001" customHeight="1" x14ac:dyDescent="0.3">
      <c r="A2" s="7" t="s">
        <v>0</v>
      </c>
      <c r="B2" s="7" t="s">
        <v>1</v>
      </c>
      <c r="C2" s="8" t="s">
        <v>2</v>
      </c>
      <c r="D2" s="7" t="s">
        <v>3</v>
      </c>
      <c r="E2" s="8" t="s">
        <v>4</v>
      </c>
      <c r="F2" s="9" t="s">
        <v>5</v>
      </c>
      <c r="G2" s="7" t="s">
        <v>6</v>
      </c>
      <c r="H2" s="9" t="s">
        <v>7</v>
      </c>
      <c r="I2" s="10" t="s">
        <v>8</v>
      </c>
      <c r="J2" s="10" t="s">
        <v>9</v>
      </c>
      <c r="K2" s="11" t="s">
        <v>10</v>
      </c>
      <c r="L2" s="7" t="s">
        <v>11</v>
      </c>
      <c r="M2" s="9" t="s">
        <v>12</v>
      </c>
    </row>
    <row r="3" spans="1:13" s="16" customFormat="1" ht="24.95" customHeight="1" x14ac:dyDescent="0.25">
      <c r="A3" s="16" t="s">
        <v>13</v>
      </c>
      <c r="B3" s="14" t="s">
        <v>14</v>
      </c>
      <c r="C3" s="15" t="s">
        <v>15</v>
      </c>
      <c r="D3" s="16" t="s">
        <v>16</v>
      </c>
      <c r="E3" s="15" t="s">
        <v>17</v>
      </c>
      <c r="F3" s="19"/>
      <c r="H3" s="19"/>
      <c r="I3" s="18"/>
      <c r="J3" s="18"/>
      <c r="K3" s="19" t="s">
        <v>18</v>
      </c>
      <c r="M3" s="106" t="str">
        <f>CONCATENATE(VLOOKUP(B3,'Supplier List'!$A$2:$D$44,2,FALSE))&amp; ","&amp; CHAR(10) &amp; (VLOOKUP(B3,'Supplier List'!$A$2:$D$44,3,FALSE)) &amp; ","&amp;CHAR(10) &amp;(VLOOKUP(B3,'Supplier List'!$A$2:$D$44,4,FALSE))</f>
        <v>Bishop Meadow Rd, Loughborough LE11 5RE,
0845 363 0426,
cs.molbio.eu@thermofisher.com</v>
      </c>
    </row>
    <row r="4" spans="1:13" s="16" customFormat="1" ht="24.95" customHeight="1" x14ac:dyDescent="0.25">
      <c r="A4" s="16" t="s">
        <v>403</v>
      </c>
      <c r="B4" s="14" t="s">
        <v>14</v>
      </c>
      <c r="C4" s="15" t="s">
        <v>194</v>
      </c>
      <c r="D4" s="16" t="s">
        <v>404</v>
      </c>
      <c r="E4" s="15" t="s">
        <v>24</v>
      </c>
      <c r="F4" s="19"/>
      <c r="H4" s="19"/>
      <c r="I4" s="18"/>
      <c r="J4" s="18"/>
      <c r="K4" s="19" t="s">
        <v>405</v>
      </c>
      <c r="M4" s="106" t="str">
        <f>CONCATENATE(VLOOKUP(B4,'Supplier List'!$A$2:$D$44,2,FALSE))&amp; ","&amp; CHAR(10) &amp; (VLOOKUP(B4,'Supplier List'!$A$2:$D$44,3,FALSE)) &amp; ","&amp;CHAR(10) &amp;(VLOOKUP(B4,'Supplier List'!$A$2:$D$44,4,FALSE))</f>
        <v>Bishop Meadow Rd, Loughborough LE11 5RE,
0845 363 0426,
cs.molbio.eu@thermofisher.com</v>
      </c>
    </row>
    <row r="5" spans="1:13" s="16" customFormat="1" ht="24.95" customHeight="1" x14ac:dyDescent="0.25">
      <c r="A5" s="16" t="s">
        <v>406</v>
      </c>
      <c r="B5" s="16" t="s">
        <v>432</v>
      </c>
      <c r="C5" s="15"/>
      <c r="E5" s="15" t="s">
        <v>24</v>
      </c>
      <c r="F5" s="19"/>
      <c r="H5" s="19"/>
      <c r="I5" s="18"/>
      <c r="J5" s="18"/>
      <c r="K5" s="19"/>
      <c r="M5" s="106" t="str">
        <f>CONCATENATE(VLOOKUP(B5,'Supplier List'!$A$2:$D$44,2,FALSE))&amp; ","&amp; CHAR(10) &amp; (VLOOKUP(B5,'Supplier List'!$A$2:$D$44,3,FALSE)) &amp; ","&amp;CHAR(10) &amp;(VLOOKUP(B5,'Supplier List'!$A$2:$D$44,4,FALSE))</f>
        <v xml:space="preserve">,
,
</v>
      </c>
    </row>
    <row r="6" spans="1:13" s="16" customFormat="1" ht="24.95" customHeight="1" x14ac:dyDescent="0.25">
      <c r="A6" s="16" t="s">
        <v>407</v>
      </c>
      <c r="B6" s="14" t="s">
        <v>19</v>
      </c>
      <c r="C6" s="15" t="s">
        <v>408</v>
      </c>
      <c r="D6" s="16" t="s">
        <v>409</v>
      </c>
      <c r="E6" s="15" t="s">
        <v>20</v>
      </c>
      <c r="F6" s="19"/>
      <c r="H6" s="19"/>
      <c r="I6" s="18"/>
      <c r="J6" s="18"/>
      <c r="K6" s="19"/>
      <c r="M6" s="106" t="str">
        <f>CONCATENATE(VLOOKUP(B6,'Supplier List'!$A$2:$D$44,2,FALSE))&amp; ","&amp; CHAR(10) &amp; (VLOOKUP(B6,'Supplier List'!$A$2:$D$44,3,FALSE)) &amp; ","&amp;CHAR(10) &amp;(VLOOKUP(B6,'Supplier List'!$A$2:$D$44,4,FALSE))</f>
        <v>Fancy Road, Poole, Dorset, BH12 4QH,
 0800717181,
ukorders@sial.com</v>
      </c>
    </row>
    <row r="7" spans="1:13" s="16" customFormat="1" ht="24.95" customHeight="1" x14ac:dyDescent="0.25">
      <c r="A7" s="16" t="s">
        <v>26</v>
      </c>
      <c r="B7" s="16" t="s">
        <v>27</v>
      </c>
      <c r="C7" s="15" t="s">
        <v>28</v>
      </c>
      <c r="D7" s="16" t="s">
        <v>29</v>
      </c>
      <c r="E7" s="15" t="s">
        <v>17</v>
      </c>
      <c r="F7" s="19"/>
      <c r="H7" s="19"/>
      <c r="I7" s="18"/>
      <c r="J7" s="18"/>
      <c r="K7" s="19"/>
      <c r="M7" s="106" t="str">
        <f>CONCATENATE(VLOOKUP(B7,'Supplier List'!$A$2:$D$44,2,FALSE))&amp; ","&amp; CHAR(10) &amp; (VLOOKUP(B7,'Supplier List'!$A$2:$D$44,3,FALSE)) &amp; ","&amp;CHAR(10) &amp;(VLOOKUP(B7,'Supplier List'!$A$2:$D$44,4,FALSE))</f>
        <v xml:space="preserve">Nottingham South &amp; Wilford Industrial Estate, 22-23 Ruddington Ln, West Bridgford, Nottingham NG11 7EP,
0115 982 1111,
</v>
      </c>
    </row>
    <row r="8" spans="1:13" s="16" customFormat="1" ht="24.95" customHeight="1" x14ac:dyDescent="0.25">
      <c r="A8" s="16" t="s">
        <v>36</v>
      </c>
      <c r="B8" s="14" t="s">
        <v>14</v>
      </c>
      <c r="C8" s="15" t="s">
        <v>37</v>
      </c>
      <c r="D8" s="16" t="s">
        <v>38</v>
      </c>
      <c r="E8" s="15" t="s">
        <v>24</v>
      </c>
      <c r="F8" s="19"/>
      <c r="H8" s="19"/>
      <c r="I8" s="18"/>
      <c r="J8" s="18"/>
      <c r="K8" s="19"/>
      <c r="M8" s="106" t="str">
        <f>CONCATENATE(VLOOKUP(B8,'Supplier List'!$A$2:$D$44,2,FALSE))&amp; ","&amp; CHAR(10) &amp; (VLOOKUP(B8,'Supplier List'!$A$2:$D$44,3,FALSE)) &amp; ","&amp;CHAR(10) &amp;(VLOOKUP(B8,'Supplier List'!$A$2:$D$44,4,FALSE))</f>
        <v>Bishop Meadow Rd, Loughborough LE11 5RE,
0845 363 0426,
cs.molbio.eu@thermofisher.com</v>
      </c>
    </row>
    <row r="9" spans="1:13" s="16" customFormat="1" ht="24.95" customHeight="1" x14ac:dyDescent="0.25">
      <c r="A9" s="16" t="s">
        <v>44</v>
      </c>
      <c r="B9" s="14" t="s">
        <v>19</v>
      </c>
      <c r="C9" s="15" t="s">
        <v>45</v>
      </c>
      <c r="D9" s="16" t="s">
        <v>46</v>
      </c>
      <c r="E9" s="15" t="s">
        <v>17</v>
      </c>
      <c r="F9" s="19"/>
      <c r="H9" s="19"/>
      <c r="I9" s="18"/>
      <c r="J9" s="18"/>
      <c r="K9" s="19"/>
      <c r="M9" s="106" t="str">
        <f>CONCATENATE(VLOOKUP(B9,'Supplier List'!$A$2:$D$44,2,FALSE))&amp; ","&amp; CHAR(10) &amp; (VLOOKUP(B9,'Supplier List'!$A$2:$D$44,3,FALSE)) &amp; ","&amp;CHAR(10) &amp;(VLOOKUP(B9,'Supplier List'!$A$2:$D$44,4,FALSE))</f>
        <v>Fancy Road, Poole, Dorset, BH12 4QH,
 0800717181,
ukorders@sial.com</v>
      </c>
    </row>
    <row r="10" spans="1:13" s="16" customFormat="1" ht="24.95" customHeight="1" x14ac:dyDescent="0.25">
      <c r="A10" s="16" t="s">
        <v>53</v>
      </c>
      <c r="B10" s="16" t="s">
        <v>54</v>
      </c>
      <c r="C10" s="15" t="s">
        <v>55</v>
      </c>
      <c r="D10" s="16" t="s">
        <v>56</v>
      </c>
      <c r="E10" s="15" t="s">
        <v>20</v>
      </c>
      <c r="F10" s="19"/>
      <c r="G10" s="16" t="s">
        <v>401</v>
      </c>
      <c r="H10" s="17" t="s">
        <v>402</v>
      </c>
      <c r="I10" s="18"/>
      <c r="J10" s="18"/>
      <c r="K10" s="19"/>
      <c r="M10" s="106" t="str">
        <f>CONCATENATE(VLOOKUP(B10,'Supplier List'!$A$2:$D$44,2,FALSE))&amp; ","&amp; CHAR(10) &amp; (VLOOKUP(B10,'Supplier List'!$A$2:$D$44,3,FALSE)) &amp; ","&amp;CHAR(10) &amp;(VLOOKUP(B10,'Supplier List'!$A$2:$D$44,4,FALSE))</f>
        <v>11B Station Approach, Gateshead NE11 0ZF,
0191 4958210,
info@vhbio.com</v>
      </c>
    </row>
    <row r="11" spans="1:13" s="16" customFormat="1" ht="24.95" customHeight="1" x14ac:dyDescent="0.25">
      <c r="A11" s="16" t="s">
        <v>57</v>
      </c>
      <c r="B11" s="16" t="s">
        <v>54</v>
      </c>
      <c r="C11" s="15" t="s">
        <v>58</v>
      </c>
      <c r="D11" s="16" t="s">
        <v>56</v>
      </c>
      <c r="E11" s="15" t="s">
        <v>20</v>
      </c>
      <c r="F11" s="19"/>
      <c r="G11" s="16" t="s">
        <v>401</v>
      </c>
      <c r="H11" s="17" t="s">
        <v>402</v>
      </c>
      <c r="I11" s="18"/>
      <c r="J11" s="18"/>
      <c r="K11" s="19"/>
      <c r="M11" s="106" t="str">
        <f>CONCATENATE(VLOOKUP(B11,'Supplier List'!$A$2:$D$44,2,FALSE))&amp; ","&amp; CHAR(10) &amp; (VLOOKUP(B11,'Supplier List'!$A$2:$D$44,3,FALSE)) &amp; ","&amp;CHAR(10) &amp;(VLOOKUP(B11,'Supplier List'!$A$2:$D$44,4,FALSE))</f>
        <v>11B Station Approach, Gateshead NE11 0ZF,
0191 4958210,
info@vhbio.com</v>
      </c>
    </row>
    <row r="12" spans="1:13" s="16" customFormat="1" ht="24.95" customHeight="1" x14ac:dyDescent="0.25">
      <c r="A12" s="16" t="s">
        <v>64</v>
      </c>
      <c r="B12" s="14" t="s">
        <v>19</v>
      </c>
      <c r="C12" s="15" t="s">
        <v>65</v>
      </c>
      <c r="D12" s="16" t="s">
        <v>66</v>
      </c>
      <c r="E12" s="15" t="s">
        <v>20</v>
      </c>
      <c r="F12" s="19"/>
      <c r="H12" s="19"/>
      <c r="I12" s="18"/>
      <c r="J12" s="18"/>
      <c r="K12" s="19"/>
      <c r="M12" s="106" t="str">
        <f>CONCATENATE(VLOOKUP(B12,'Supplier List'!$A$2:$D$44,2,FALSE))&amp; ","&amp; CHAR(10) &amp; (VLOOKUP(B12,'Supplier List'!$A$2:$D$44,3,FALSE)) &amp; ","&amp;CHAR(10) &amp;(VLOOKUP(B12,'Supplier List'!$A$2:$D$44,4,FALSE))</f>
        <v>Fancy Road, Poole, Dorset, BH12 4QH,
 0800717181,
ukorders@sial.com</v>
      </c>
    </row>
    <row r="13" spans="1:13" s="16" customFormat="1" ht="24.95" customHeight="1" x14ac:dyDescent="0.25">
      <c r="A13" s="16" t="s">
        <v>67</v>
      </c>
      <c r="B13" s="14" t="s">
        <v>14</v>
      </c>
      <c r="C13" s="15" t="s">
        <v>68</v>
      </c>
      <c r="D13" s="16" t="s">
        <v>69</v>
      </c>
      <c r="E13" s="15" t="s">
        <v>24</v>
      </c>
      <c r="F13" s="19"/>
      <c r="H13" s="19"/>
      <c r="I13" s="18"/>
      <c r="J13" s="18"/>
      <c r="K13" s="19"/>
      <c r="M13" s="106" t="str">
        <f>CONCATENATE(VLOOKUP(B13,'Supplier List'!$A$2:$D$44,2,FALSE))&amp; ","&amp; CHAR(10) &amp; (VLOOKUP(B13,'Supplier List'!$A$2:$D$44,3,FALSE)) &amp; ","&amp;CHAR(10) &amp;(VLOOKUP(B13,'Supplier List'!$A$2:$D$44,4,FALSE))</f>
        <v>Bishop Meadow Rd, Loughborough LE11 5RE,
0845 363 0426,
cs.molbio.eu@thermofisher.com</v>
      </c>
    </row>
    <row r="14" spans="1:13" s="16" customFormat="1" ht="24.95" customHeight="1" x14ac:dyDescent="0.25">
      <c r="A14" s="16" t="s">
        <v>75</v>
      </c>
      <c r="B14" s="14" t="s">
        <v>126</v>
      </c>
      <c r="C14" s="15">
        <v>20031374</v>
      </c>
      <c r="D14" s="16" t="s">
        <v>76</v>
      </c>
      <c r="E14" s="15" t="s">
        <v>410</v>
      </c>
      <c r="F14" s="19" t="s">
        <v>73</v>
      </c>
      <c r="H14" s="19"/>
      <c r="I14" s="18"/>
      <c r="J14" s="18"/>
      <c r="K14" s="19" t="s">
        <v>74</v>
      </c>
      <c r="M14" s="106" t="str">
        <f>CONCATENATE(VLOOKUP(B14,'Supplier List'!$A$2:$D$44,2,FALSE))&amp; ","&amp; CHAR(10) &amp; (VLOOKUP(B14,'Supplier List'!$A$2:$D$44,3,FALSE)) &amp; ","&amp;CHAR(10) &amp;(VLOOKUP(B14,'Supplier List'!$A$2:$D$44,4,FALSE))</f>
        <v>Ythan Lodge, Drumore Road, Killearn, Glasgow, G63 9NX,
020 8374 0826,
enquiries@alphabiotech.co.uk</v>
      </c>
    </row>
    <row r="15" spans="1:13" s="16" customFormat="1" ht="24.95" customHeight="1" x14ac:dyDescent="0.25">
      <c r="A15" s="16" t="s">
        <v>77</v>
      </c>
      <c r="B15" s="16" t="s">
        <v>54</v>
      </c>
      <c r="C15" s="15" t="s">
        <v>78</v>
      </c>
      <c r="D15" s="16" t="s">
        <v>79</v>
      </c>
      <c r="E15" s="15" t="s">
        <v>411</v>
      </c>
      <c r="F15" s="19"/>
      <c r="G15" s="16" t="s">
        <v>401</v>
      </c>
      <c r="H15" s="17" t="s">
        <v>402</v>
      </c>
      <c r="I15" s="18">
        <v>1552</v>
      </c>
      <c r="J15" s="18">
        <v>60</v>
      </c>
      <c r="K15" s="19"/>
      <c r="M15" s="106" t="str">
        <f>CONCATENATE(VLOOKUP(B15,'Supplier List'!$A$2:$D$44,2,FALSE))&amp; ","&amp; CHAR(10) &amp; (VLOOKUP(B15,'Supplier List'!$A$2:$D$44,3,FALSE)) &amp; ","&amp;CHAR(10) &amp;(VLOOKUP(B15,'Supplier List'!$A$2:$D$44,4,FALSE))</f>
        <v>11B Station Approach, Gateshead NE11 0ZF,
0191 4958210,
info@vhbio.com</v>
      </c>
    </row>
    <row r="16" spans="1:13" s="16" customFormat="1" ht="24.95" customHeight="1" x14ac:dyDescent="0.25">
      <c r="A16" s="16" t="s">
        <v>80</v>
      </c>
      <c r="B16" s="16" t="s">
        <v>54</v>
      </c>
      <c r="C16" s="15" t="s">
        <v>81</v>
      </c>
      <c r="D16" s="16" t="s">
        <v>79</v>
      </c>
      <c r="E16" s="15" t="s">
        <v>411</v>
      </c>
      <c r="F16" s="19"/>
      <c r="G16" s="16" t="s">
        <v>401</v>
      </c>
      <c r="H16" s="17" t="s">
        <v>402</v>
      </c>
      <c r="I16" s="18">
        <v>1552</v>
      </c>
      <c r="J16" s="18">
        <v>60</v>
      </c>
      <c r="K16" s="19"/>
      <c r="M16" s="106" t="str">
        <f>CONCATENATE(VLOOKUP(B16,'Supplier List'!$A$2:$D$44,2,FALSE))&amp; ","&amp; CHAR(10) &amp; (VLOOKUP(B16,'Supplier List'!$A$2:$D$44,3,FALSE)) &amp; ","&amp;CHAR(10) &amp;(VLOOKUP(B16,'Supplier List'!$A$2:$D$44,4,FALSE))</f>
        <v>11B Station Approach, Gateshead NE11 0ZF,
0191 4958210,
info@vhbio.com</v>
      </c>
    </row>
    <row r="17" spans="1:13" s="16" customFormat="1" ht="24.95" customHeight="1" x14ac:dyDescent="0.25">
      <c r="A17" s="16" t="s">
        <v>82</v>
      </c>
      <c r="B17" s="16" t="s">
        <v>54</v>
      </c>
      <c r="C17" s="15" t="s">
        <v>83</v>
      </c>
      <c r="D17" s="16" t="s">
        <v>79</v>
      </c>
      <c r="E17" s="15" t="s">
        <v>411</v>
      </c>
      <c r="F17" s="19"/>
      <c r="G17" s="16" t="s">
        <v>401</v>
      </c>
      <c r="H17" s="17" t="s">
        <v>402</v>
      </c>
      <c r="I17" s="18">
        <v>2408</v>
      </c>
      <c r="J17" s="18">
        <v>60</v>
      </c>
      <c r="K17" s="19"/>
      <c r="M17" s="106" t="str">
        <f>CONCATENATE(VLOOKUP(B17,'Supplier List'!$A$2:$D$44,2,FALSE))&amp; ","&amp; CHAR(10) &amp; (VLOOKUP(B17,'Supplier List'!$A$2:$D$44,3,FALSE)) &amp; ","&amp;CHAR(10) &amp;(VLOOKUP(B17,'Supplier List'!$A$2:$D$44,4,FALSE))</f>
        <v>11B Station Approach, Gateshead NE11 0ZF,
0191 4958210,
info@vhbio.com</v>
      </c>
    </row>
    <row r="18" spans="1:13" s="16" customFormat="1" ht="24.95" customHeight="1" x14ac:dyDescent="0.25">
      <c r="A18" s="16" t="s">
        <v>84</v>
      </c>
      <c r="B18" s="16" t="s">
        <v>54</v>
      </c>
      <c r="C18" s="15" t="s">
        <v>85</v>
      </c>
      <c r="D18" s="16" t="s">
        <v>79</v>
      </c>
      <c r="E18" s="15" t="s">
        <v>411</v>
      </c>
      <c r="F18" s="19"/>
      <c r="G18" s="16" t="s">
        <v>401</v>
      </c>
      <c r="H18" s="17" t="s">
        <v>402</v>
      </c>
      <c r="I18" s="18">
        <v>1552</v>
      </c>
      <c r="J18" s="18">
        <v>60</v>
      </c>
      <c r="K18" s="19"/>
      <c r="M18" s="106" t="str">
        <f>CONCATENATE(VLOOKUP(B18,'Supplier List'!$A$2:$D$44,2,FALSE))&amp; ","&amp; CHAR(10) &amp; (VLOOKUP(B18,'Supplier List'!$A$2:$D$44,3,FALSE)) &amp; ","&amp;CHAR(10) &amp;(VLOOKUP(B18,'Supplier List'!$A$2:$D$44,4,FALSE))</f>
        <v>11B Station Approach, Gateshead NE11 0ZF,
0191 4958210,
info@vhbio.com</v>
      </c>
    </row>
    <row r="19" spans="1:13" s="16" customFormat="1" ht="24.95" customHeight="1" x14ac:dyDescent="0.25">
      <c r="A19" s="16" t="s">
        <v>86</v>
      </c>
      <c r="B19" s="16" t="s">
        <v>54</v>
      </c>
      <c r="C19" s="15" t="s">
        <v>87</v>
      </c>
      <c r="D19" s="16" t="s">
        <v>79</v>
      </c>
      <c r="E19" s="15" t="s">
        <v>411</v>
      </c>
      <c r="F19" s="19"/>
      <c r="G19" s="16" t="s">
        <v>401</v>
      </c>
      <c r="H19" s="17" t="s">
        <v>402</v>
      </c>
      <c r="I19" s="18">
        <v>1990</v>
      </c>
      <c r="J19" s="18">
        <v>60</v>
      </c>
      <c r="K19" s="19"/>
      <c r="M19" s="106" t="str">
        <f>CONCATENATE(VLOOKUP(B19,'Supplier List'!$A$2:$D$44,2,FALSE))&amp; ","&amp; CHAR(10) &amp; (VLOOKUP(B19,'Supplier List'!$A$2:$D$44,3,FALSE)) &amp; ","&amp;CHAR(10) &amp;(VLOOKUP(B19,'Supplier List'!$A$2:$D$44,4,FALSE))</f>
        <v>11B Station Approach, Gateshead NE11 0ZF,
0191 4958210,
info@vhbio.com</v>
      </c>
    </row>
    <row r="20" spans="1:13" s="16" customFormat="1" ht="24.95" customHeight="1" x14ac:dyDescent="0.25">
      <c r="A20" s="16" t="s">
        <v>88</v>
      </c>
      <c r="B20" s="16" t="s">
        <v>54</v>
      </c>
      <c r="C20" s="15" t="s">
        <v>89</v>
      </c>
      <c r="D20" s="16" t="s">
        <v>79</v>
      </c>
      <c r="E20" s="15" t="s">
        <v>411</v>
      </c>
      <c r="F20" s="19"/>
      <c r="G20" s="16" t="s">
        <v>401</v>
      </c>
      <c r="H20" s="17" t="s">
        <v>402</v>
      </c>
      <c r="I20" s="18">
        <v>1552</v>
      </c>
      <c r="J20" s="18">
        <v>60</v>
      </c>
      <c r="K20" s="19"/>
      <c r="M20" s="106" t="str">
        <f>CONCATENATE(VLOOKUP(B20,'Supplier List'!$A$2:$D$44,2,FALSE))&amp; ","&amp; CHAR(10) &amp; (VLOOKUP(B20,'Supplier List'!$A$2:$D$44,3,FALSE)) &amp; ","&amp;CHAR(10) &amp;(VLOOKUP(B20,'Supplier List'!$A$2:$D$44,4,FALSE))</f>
        <v>11B Station Approach, Gateshead NE11 0ZF,
0191 4958210,
info@vhbio.com</v>
      </c>
    </row>
    <row r="21" spans="1:13" s="16" customFormat="1" ht="24.95" customHeight="1" x14ac:dyDescent="0.25">
      <c r="A21" s="16" t="s">
        <v>90</v>
      </c>
      <c r="B21" s="16" t="s">
        <v>54</v>
      </c>
      <c r="C21" s="15" t="s">
        <v>91</v>
      </c>
      <c r="D21" s="16" t="s">
        <v>79</v>
      </c>
      <c r="E21" s="15" t="s">
        <v>411</v>
      </c>
      <c r="F21" s="19"/>
      <c r="G21" s="16" t="s">
        <v>401</v>
      </c>
      <c r="H21" s="17" t="s">
        <v>402</v>
      </c>
      <c r="I21" s="18">
        <v>1552</v>
      </c>
      <c r="J21" s="18">
        <v>60</v>
      </c>
      <c r="K21" s="19"/>
      <c r="M21" s="106" t="str">
        <f>CONCATENATE(VLOOKUP(B21,'Supplier List'!$A$2:$D$44,2,FALSE))&amp; ","&amp; CHAR(10) &amp; (VLOOKUP(B21,'Supplier List'!$A$2:$D$44,3,FALSE)) &amp; ","&amp;CHAR(10) &amp;(VLOOKUP(B21,'Supplier List'!$A$2:$D$44,4,FALSE))</f>
        <v>11B Station Approach, Gateshead NE11 0ZF,
0191 4958210,
info@vhbio.com</v>
      </c>
    </row>
    <row r="22" spans="1:13" s="16" customFormat="1" ht="24.95" customHeight="1" x14ac:dyDescent="0.25">
      <c r="A22" s="16" t="s">
        <v>92</v>
      </c>
      <c r="B22" s="16" t="s">
        <v>54</v>
      </c>
      <c r="C22" s="15" t="s">
        <v>93</v>
      </c>
      <c r="D22" s="16" t="s">
        <v>79</v>
      </c>
      <c r="E22" s="15" t="s">
        <v>411</v>
      </c>
      <c r="F22" s="19"/>
      <c r="G22" s="16" t="s">
        <v>401</v>
      </c>
      <c r="H22" s="17" t="s">
        <v>402</v>
      </c>
      <c r="I22" s="18">
        <v>1552</v>
      </c>
      <c r="J22" s="18">
        <v>60</v>
      </c>
      <c r="K22" s="19"/>
      <c r="M22" s="106" t="str">
        <f>CONCATENATE(VLOOKUP(B22,'Supplier List'!$A$2:$D$44,2,FALSE))&amp; ","&amp; CHAR(10) &amp; (VLOOKUP(B22,'Supplier List'!$A$2:$D$44,3,FALSE)) &amp; ","&amp;CHAR(10) &amp;(VLOOKUP(B22,'Supplier List'!$A$2:$D$44,4,FALSE))</f>
        <v>11B Station Approach, Gateshead NE11 0ZF,
0191 4958210,
info@vhbio.com</v>
      </c>
    </row>
    <row r="23" spans="1:13" s="16" customFormat="1" ht="24.95" customHeight="1" x14ac:dyDescent="0.25">
      <c r="A23" s="16" t="s">
        <v>94</v>
      </c>
      <c r="B23" s="16" t="s">
        <v>54</v>
      </c>
      <c r="C23" s="15" t="s">
        <v>95</v>
      </c>
      <c r="D23" s="16" t="s">
        <v>29</v>
      </c>
      <c r="E23" s="15" t="s">
        <v>96</v>
      </c>
      <c r="F23" s="19"/>
      <c r="G23" s="16" t="s">
        <v>401</v>
      </c>
      <c r="H23" s="17" t="s">
        <v>402</v>
      </c>
      <c r="I23" s="18">
        <v>359</v>
      </c>
      <c r="J23" s="18">
        <v>60</v>
      </c>
      <c r="K23" s="19"/>
      <c r="M23" s="106" t="str">
        <f>CONCATENATE(VLOOKUP(B23,'Supplier List'!$A$2:$D$44,2,FALSE))&amp; ","&amp; CHAR(10) &amp; (VLOOKUP(B23,'Supplier List'!$A$2:$D$44,3,FALSE)) &amp; ","&amp;CHAR(10) &amp;(VLOOKUP(B23,'Supplier List'!$A$2:$D$44,4,FALSE))</f>
        <v>11B Station Approach, Gateshead NE11 0ZF,
0191 4958210,
info@vhbio.com</v>
      </c>
    </row>
    <row r="24" spans="1:13" s="16" customFormat="1" ht="24.95" customHeight="1" x14ac:dyDescent="0.25">
      <c r="A24" s="16" t="s">
        <v>97</v>
      </c>
      <c r="B24" s="16" t="s">
        <v>14</v>
      </c>
      <c r="C24" s="15" t="s">
        <v>98</v>
      </c>
      <c r="D24" s="16" t="s">
        <v>99</v>
      </c>
      <c r="E24" s="15" t="s">
        <v>24</v>
      </c>
      <c r="F24" s="19"/>
      <c r="H24" s="19"/>
      <c r="I24" s="18"/>
      <c r="J24" s="18"/>
      <c r="K24" s="19"/>
      <c r="M24" s="106" t="str">
        <f>CONCATENATE(VLOOKUP(B24,'Supplier List'!$A$2:$D$44,2,FALSE))&amp; ","&amp; CHAR(10) &amp; (VLOOKUP(B24,'Supplier List'!$A$2:$D$44,3,FALSE)) &amp; ","&amp;CHAR(10) &amp;(VLOOKUP(B24,'Supplier List'!$A$2:$D$44,4,FALSE))</f>
        <v>Bishop Meadow Rd, Loughborough LE11 5RE,
0845 363 0426,
cs.molbio.eu@thermofisher.com</v>
      </c>
    </row>
    <row r="25" spans="1:13" s="16" customFormat="1" ht="24.95" customHeight="1" x14ac:dyDescent="0.25">
      <c r="A25" s="16" t="s">
        <v>100</v>
      </c>
      <c r="B25" s="16" t="s">
        <v>14</v>
      </c>
      <c r="C25" s="15" t="s">
        <v>101</v>
      </c>
      <c r="D25" s="16" t="s">
        <v>99</v>
      </c>
      <c r="E25" s="15" t="s">
        <v>24</v>
      </c>
      <c r="F25" s="19"/>
      <c r="H25" s="19"/>
      <c r="I25" s="18"/>
      <c r="J25" s="18"/>
      <c r="K25" s="19"/>
      <c r="M25" s="106" t="str">
        <f>CONCATENATE(VLOOKUP(B25,'Supplier List'!$A$2:$D$44,2,FALSE))&amp; ","&amp; CHAR(10) &amp; (VLOOKUP(B25,'Supplier List'!$A$2:$D$44,3,FALSE)) &amp; ","&amp;CHAR(10) &amp;(VLOOKUP(B25,'Supplier List'!$A$2:$D$44,4,FALSE))</f>
        <v>Bishop Meadow Rd, Loughborough LE11 5RE,
0845 363 0426,
cs.molbio.eu@thermofisher.com</v>
      </c>
    </row>
    <row r="26" spans="1:13" s="16" customFormat="1" ht="24.95" customHeight="1" x14ac:dyDescent="0.25">
      <c r="A26" s="16" t="s">
        <v>102</v>
      </c>
      <c r="B26" s="14" t="s">
        <v>103</v>
      </c>
      <c r="C26" s="15" t="s">
        <v>104</v>
      </c>
      <c r="D26" s="16" t="s">
        <v>105</v>
      </c>
      <c r="E26" s="15" t="s">
        <v>17</v>
      </c>
      <c r="F26" s="19"/>
      <c r="H26" s="19"/>
      <c r="I26" s="18"/>
      <c r="J26" s="18"/>
      <c r="K26" s="19" t="s">
        <v>107</v>
      </c>
      <c r="M26" s="106" t="str">
        <f>CONCATENATE(VLOOKUP(B26,'Supplier List'!$A$2:$D$44,2,FALSE))&amp; ","&amp; CHAR(10) &amp; (VLOOKUP(B26,'Supplier List'!$A$2:$D$44,3,FALSE)) &amp; ","&amp;CHAR(10) &amp;(VLOOKUP(B26,'Supplier List'!$A$2:$D$44,4,FALSE))</f>
        <v>Science Park, 2 Benham Rd, Chilworth, Southampton SO16 7QJ,
0800 378994,
ukcustserve@promega.com</v>
      </c>
    </row>
    <row r="27" spans="1:13" s="16" customFormat="1" ht="24.95" customHeight="1" x14ac:dyDescent="0.25">
      <c r="A27" s="16" t="s">
        <v>412</v>
      </c>
      <c r="B27" s="14" t="s">
        <v>14</v>
      </c>
      <c r="C27" s="15"/>
      <c r="D27" s="16" t="s">
        <v>404</v>
      </c>
      <c r="E27" s="15" t="s">
        <v>24</v>
      </c>
      <c r="F27" s="19"/>
      <c r="H27" s="19"/>
      <c r="I27" s="18"/>
      <c r="J27" s="18"/>
      <c r="K27" s="19" t="s">
        <v>405</v>
      </c>
      <c r="M27" s="106" t="str">
        <f>CONCATENATE(VLOOKUP(B27,'Supplier List'!$A$2:$D$44,2,FALSE))&amp; ","&amp; CHAR(10) &amp; (VLOOKUP(B27,'Supplier List'!$A$2:$D$44,3,FALSE)) &amp; ","&amp;CHAR(10) &amp;(VLOOKUP(B27,'Supplier List'!$A$2:$D$44,4,FALSE))</f>
        <v>Bishop Meadow Rd, Loughborough LE11 5RE,
0845 363 0426,
cs.molbio.eu@thermofisher.com</v>
      </c>
    </row>
    <row r="28" spans="1:13" s="16" customFormat="1" ht="24.95" customHeight="1" x14ac:dyDescent="0.25">
      <c r="A28" s="16" t="s">
        <v>108</v>
      </c>
      <c r="B28" s="16" t="s">
        <v>54</v>
      </c>
      <c r="C28" s="15" t="s">
        <v>109</v>
      </c>
      <c r="D28" s="16" t="s">
        <v>110</v>
      </c>
      <c r="E28" s="15" t="s">
        <v>24</v>
      </c>
      <c r="F28" s="19"/>
      <c r="G28" s="16" t="s">
        <v>401</v>
      </c>
      <c r="H28" s="17" t="s">
        <v>402</v>
      </c>
      <c r="I28" s="18"/>
      <c r="J28" s="18"/>
      <c r="K28" s="19" t="s">
        <v>111</v>
      </c>
      <c r="M28" s="106" t="str">
        <f>CONCATENATE(VLOOKUP(B28,'Supplier List'!$A$2:$D$44,2,FALSE))&amp; ","&amp; CHAR(10) &amp; (VLOOKUP(B28,'Supplier List'!$A$2:$D$44,3,FALSE)) &amp; ","&amp;CHAR(10) &amp;(VLOOKUP(B28,'Supplier List'!$A$2:$D$44,4,FALSE))</f>
        <v>11B Station Approach, Gateshead NE11 0ZF,
0191 4958210,
info@vhbio.com</v>
      </c>
    </row>
    <row r="29" spans="1:13" s="16" customFormat="1" ht="24.95" customHeight="1" x14ac:dyDescent="0.25">
      <c r="A29" s="16" t="s">
        <v>112</v>
      </c>
      <c r="B29" s="16" t="s">
        <v>54</v>
      </c>
      <c r="C29" s="15" t="s">
        <v>113</v>
      </c>
      <c r="D29" s="16" t="s">
        <v>114</v>
      </c>
      <c r="E29" s="15" t="s">
        <v>24</v>
      </c>
      <c r="F29" s="19"/>
      <c r="G29" s="16" t="s">
        <v>401</v>
      </c>
      <c r="H29" s="17" t="s">
        <v>402</v>
      </c>
      <c r="I29" s="18"/>
      <c r="J29" s="18"/>
      <c r="K29" s="19" t="s">
        <v>111</v>
      </c>
      <c r="M29" s="106" t="str">
        <f>CONCATENATE(VLOOKUP(B29,'Supplier List'!$A$2:$D$44,2,FALSE))&amp; ","&amp; CHAR(10) &amp; (VLOOKUP(B29,'Supplier List'!$A$2:$D$44,3,FALSE)) &amp; ","&amp;CHAR(10) &amp;(VLOOKUP(B29,'Supplier List'!$A$2:$D$44,4,FALSE))</f>
        <v>11B Station Approach, Gateshead NE11 0ZF,
0191 4958210,
info@vhbio.com</v>
      </c>
    </row>
    <row r="30" spans="1:13" s="16" customFormat="1" ht="24.95" customHeight="1" x14ac:dyDescent="0.25">
      <c r="A30" s="16" t="s">
        <v>115</v>
      </c>
      <c r="B30" s="16" t="s">
        <v>54</v>
      </c>
      <c r="C30" s="15" t="s">
        <v>116</v>
      </c>
      <c r="D30" s="16" t="s">
        <v>117</v>
      </c>
      <c r="E30" s="15" t="s">
        <v>24</v>
      </c>
      <c r="F30" s="19"/>
      <c r="G30" s="16" t="s">
        <v>401</v>
      </c>
      <c r="H30" s="17" t="s">
        <v>402</v>
      </c>
      <c r="I30" s="18"/>
      <c r="J30" s="18"/>
      <c r="K30" s="19" t="s">
        <v>111</v>
      </c>
      <c r="M30" s="106" t="str">
        <f>CONCATENATE(VLOOKUP(B30,'Supplier List'!$A$2:$D$44,2,FALSE))&amp; ","&amp; CHAR(10) &amp; (VLOOKUP(B30,'Supplier List'!$A$2:$D$44,3,FALSE)) &amp; ","&amp;CHAR(10) &amp;(VLOOKUP(B30,'Supplier List'!$A$2:$D$44,4,FALSE))</f>
        <v>11B Station Approach, Gateshead NE11 0ZF,
0191 4958210,
info@vhbio.com</v>
      </c>
    </row>
    <row r="31" spans="1:13" s="16" customFormat="1" ht="24.95" customHeight="1" x14ac:dyDescent="0.25">
      <c r="A31" s="16" t="s">
        <v>125</v>
      </c>
      <c r="B31" s="14" t="s">
        <v>126</v>
      </c>
      <c r="C31" s="15">
        <v>2342156</v>
      </c>
      <c r="D31" s="16" t="s">
        <v>127</v>
      </c>
      <c r="E31" s="15" t="s">
        <v>128</v>
      </c>
      <c r="F31" s="19"/>
      <c r="H31" s="19"/>
      <c r="I31" s="18"/>
      <c r="J31" s="18"/>
      <c r="K31" s="19" t="s">
        <v>129</v>
      </c>
      <c r="M31" s="106" t="str">
        <f>CONCATENATE(VLOOKUP(B31,'Supplier List'!$A$2:$D$44,2,FALSE))&amp; ","&amp; CHAR(10) &amp; (VLOOKUP(B31,'Supplier List'!$A$2:$D$44,3,FALSE)) &amp; ","&amp;CHAR(10) &amp;(VLOOKUP(B31,'Supplier List'!$A$2:$D$44,4,FALSE))</f>
        <v>Ythan Lodge, Drumore Road, Killearn, Glasgow, G63 9NX,
020 8374 0826,
enquiries@alphabiotech.co.uk</v>
      </c>
    </row>
    <row r="32" spans="1:13" s="16" customFormat="1" ht="24.95" customHeight="1" x14ac:dyDescent="0.25">
      <c r="A32" s="16" t="s">
        <v>130</v>
      </c>
      <c r="B32" s="14" t="s">
        <v>126</v>
      </c>
      <c r="C32" s="15">
        <v>7371864</v>
      </c>
      <c r="D32" s="16" t="s">
        <v>127</v>
      </c>
      <c r="E32" s="15" t="s">
        <v>24</v>
      </c>
      <c r="F32" s="19"/>
      <c r="H32" s="19"/>
      <c r="I32" s="18"/>
      <c r="J32" s="18"/>
      <c r="K32" s="19" t="s">
        <v>129</v>
      </c>
      <c r="M32" s="106" t="str">
        <f>CONCATENATE(VLOOKUP(B32,'Supplier List'!$A$2:$D$44,2,FALSE))&amp; ","&amp; CHAR(10) &amp; (VLOOKUP(B32,'Supplier List'!$A$2:$D$44,3,FALSE)) &amp; ","&amp;CHAR(10) &amp;(VLOOKUP(B32,'Supplier List'!$A$2:$D$44,4,FALSE))</f>
        <v>Ythan Lodge, Drumore Road, Killearn, Glasgow, G63 9NX,
020 8374 0826,
enquiries@alphabiotech.co.uk</v>
      </c>
    </row>
    <row r="33" spans="1:13" s="16" customFormat="1" ht="24.95" customHeight="1" x14ac:dyDescent="0.25">
      <c r="A33" s="16" t="s">
        <v>131</v>
      </c>
      <c r="B33" s="16" t="s">
        <v>14</v>
      </c>
      <c r="C33" s="15" t="s">
        <v>132</v>
      </c>
      <c r="D33" s="16" t="s">
        <v>46</v>
      </c>
      <c r="E33" s="15" t="s">
        <v>17</v>
      </c>
      <c r="F33" s="19"/>
      <c r="H33" s="19"/>
      <c r="I33" s="18"/>
      <c r="J33" s="18"/>
      <c r="K33" s="19"/>
      <c r="M33" s="106" t="str">
        <f>CONCATENATE(VLOOKUP(B33,'Supplier List'!$A$2:$D$44,2,FALSE))&amp; ","&amp; CHAR(10) &amp; (VLOOKUP(B33,'Supplier List'!$A$2:$D$44,3,FALSE)) &amp; ","&amp;CHAR(10) &amp;(VLOOKUP(B33,'Supplier List'!$A$2:$D$44,4,FALSE))</f>
        <v>Bishop Meadow Rd, Loughborough LE11 5RE,
0845 363 0426,
cs.molbio.eu@thermofisher.com</v>
      </c>
    </row>
    <row r="34" spans="1:13" s="16" customFormat="1" ht="24.95" customHeight="1" x14ac:dyDescent="0.25">
      <c r="A34" s="16" t="s">
        <v>133</v>
      </c>
      <c r="B34" s="16" t="s">
        <v>54</v>
      </c>
      <c r="C34" s="15" t="s">
        <v>134</v>
      </c>
      <c r="D34" s="16" t="s">
        <v>135</v>
      </c>
      <c r="E34" s="15" t="s">
        <v>20</v>
      </c>
      <c r="F34" s="19"/>
      <c r="G34" s="16" t="s">
        <v>401</v>
      </c>
      <c r="H34" s="17" t="s">
        <v>402</v>
      </c>
      <c r="I34" s="18"/>
      <c r="J34" s="18"/>
      <c r="K34" s="19"/>
      <c r="M34" s="106" t="str">
        <f>CONCATENATE(VLOOKUP(B34,'Supplier List'!$A$2:$D$44,2,FALSE))&amp; ","&amp; CHAR(10) &amp; (VLOOKUP(B34,'Supplier List'!$A$2:$D$44,3,FALSE)) &amp; ","&amp;CHAR(10) &amp;(VLOOKUP(B34,'Supplier List'!$A$2:$D$44,4,FALSE))</f>
        <v>11B Station Approach, Gateshead NE11 0ZF,
0191 4958210,
info@vhbio.com</v>
      </c>
    </row>
    <row r="35" spans="1:13" s="16" customFormat="1" ht="24.95" customHeight="1" x14ac:dyDescent="0.25">
      <c r="A35" s="16" t="s">
        <v>136</v>
      </c>
      <c r="B35" s="14" t="s">
        <v>126</v>
      </c>
      <c r="C35" s="15">
        <v>15017666</v>
      </c>
      <c r="D35" s="15" t="s">
        <v>24</v>
      </c>
      <c r="E35" s="15" t="s">
        <v>24</v>
      </c>
      <c r="F35" s="19"/>
      <c r="H35" s="19"/>
      <c r="I35" s="18"/>
      <c r="J35" s="18"/>
      <c r="K35" s="19" t="s">
        <v>74</v>
      </c>
      <c r="M35" s="106" t="str">
        <f>CONCATENATE(VLOOKUP(B35,'Supplier List'!$A$2:$D$44,2,FALSE))&amp; ","&amp; CHAR(10) &amp; (VLOOKUP(B35,'Supplier List'!$A$2:$D$44,3,FALSE)) &amp; ","&amp;CHAR(10) &amp;(VLOOKUP(B35,'Supplier List'!$A$2:$D$44,4,FALSE))</f>
        <v>Ythan Lodge, Drumore Road, Killearn, Glasgow, G63 9NX,
020 8374 0826,
enquiries@alphabiotech.co.uk</v>
      </c>
    </row>
    <row r="36" spans="1:13" s="16" customFormat="1" ht="24.95" customHeight="1" x14ac:dyDescent="0.25">
      <c r="A36" s="16" t="s">
        <v>413</v>
      </c>
      <c r="B36" s="16" t="s">
        <v>14</v>
      </c>
      <c r="C36" s="15" t="s">
        <v>106</v>
      </c>
      <c r="D36" s="15" t="s">
        <v>24</v>
      </c>
      <c r="E36" s="15" t="s">
        <v>24</v>
      </c>
      <c r="F36" s="19"/>
      <c r="H36" s="19"/>
      <c r="I36" s="18"/>
      <c r="J36" s="18"/>
      <c r="K36" s="19" t="s">
        <v>414</v>
      </c>
      <c r="M36" s="106" t="str">
        <f>CONCATENATE(VLOOKUP(B36,'Supplier List'!$A$2:$D$44,2,FALSE))&amp; ","&amp; CHAR(10) &amp; (VLOOKUP(B36,'Supplier List'!$A$2:$D$44,3,FALSE)) &amp; ","&amp;CHAR(10) &amp;(VLOOKUP(B36,'Supplier List'!$A$2:$D$44,4,FALSE))</f>
        <v>Bishop Meadow Rd, Loughborough LE11 5RE,
0845 363 0426,
cs.molbio.eu@thermofisher.com</v>
      </c>
    </row>
    <row r="37" spans="1:13" s="16" customFormat="1" ht="24.95" customHeight="1" x14ac:dyDescent="0.25">
      <c r="A37" s="16" t="s">
        <v>415</v>
      </c>
      <c r="B37" s="16" t="s">
        <v>14</v>
      </c>
      <c r="C37" s="15" t="s">
        <v>106</v>
      </c>
      <c r="D37" s="15" t="s">
        <v>24</v>
      </c>
      <c r="E37" s="15" t="s">
        <v>24</v>
      </c>
      <c r="F37" s="19"/>
      <c r="H37" s="19"/>
      <c r="I37" s="18"/>
      <c r="J37" s="18"/>
      <c r="K37" s="19" t="s">
        <v>414</v>
      </c>
      <c r="M37" s="106" t="str">
        <f>CONCATENATE(VLOOKUP(B37,'Supplier List'!$A$2:$D$44,2,FALSE))&amp; ","&amp; CHAR(10) &amp; (VLOOKUP(B37,'Supplier List'!$A$2:$D$44,3,FALSE)) &amp; ","&amp;CHAR(10) &amp;(VLOOKUP(B37,'Supplier List'!$A$2:$D$44,4,FALSE))</f>
        <v>Bishop Meadow Rd, Loughborough LE11 5RE,
0845 363 0426,
cs.molbio.eu@thermofisher.com</v>
      </c>
    </row>
    <row r="38" spans="1:13" s="16" customFormat="1" ht="24.95" customHeight="1" x14ac:dyDescent="0.25">
      <c r="A38" s="16" t="s">
        <v>416</v>
      </c>
      <c r="B38" s="16" t="s">
        <v>14</v>
      </c>
      <c r="C38" s="15" t="s">
        <v>106</v>
      </c>
      <c r="D38" s="15" t="s">
        <v>24</v>
      </c>
      <c r="E38" s="15" t="s">
        <v>24</v>
      </c>
      <c r="F38" s="19"/>
      <c r="H38" s="19"/>
      <c r="I38" s="18"/>
      <c r="J38" s="18"/>
      <c r="K38" s="19" t="s">
        <v>414</v>
      </c>
      <c r="M38" s="106" t="str">
        <f>CONCATENATE(VLOOKUP(B38,'Supplier List'!$A$2:$D$44,2,FALSE))&amp; ","&amp; CHAR(10) &amp; (VLOOKUP(B38,'Supplier List'!$A$2:$D$44,3,FALSE)) &amp; ","&amp;CHAR(10) &amp;(VLOOKUP(B38,'Supplier List'!$A$2:$D$44,4,FALSE))</f>
        <v>Bishop Meadow Rd, Loughborough LE11 5RE,
0845 363 0426,
cs.molbio.eu@thermofisher.com</v>
      </c>
    </row>
    <row r="39" spans="1:13" s="16" customFormat="1" ht="24.95" customHeight="1" x14ac:dyDescent="0.25">
      <c r="A39" s="16" t="s">
        <v>417</v>
      </c>
      <c r="B39" s="16" t="s">
        <v>14</v>
      </c>
      <c r="C39" s="15" t="s">
        <v>106</v>
      </c>
      <c r="D39" s="15" t="s">
        <v>24</v>
      </c>
      <c r="E39" s="15" t="s">
        <v>24</v>
      </c>
      <c r="F39" s="19"/>
      <c r="H39" s="19"/>
      <c r="I39" s="18"/>
      <c r="J39" s="18"/>
      <c r="K39" s="19" t="s">
        <v>414</v>
      </c>
      <c r="M39" s="106" t="str">
        <f>CONCATENATE(VLOOKUP(B39,'Supplier List'!$A$2:$D$44,2,FALSE))&amp; ","&amp; CHAR(10) &amp; (VLOOKUP(B39,'Supplier List'!$A$2:$D$44,3,FALSE)) &amp; ","&amp;CHAR(10) &amp;(VLOOKUP(B39,'Supplier List'!$A$2:$D$44,4,FALSE))</f>
        <v>Bishop Meadow Rd, Loughborough LE11 5RE,
0845 363 0426,
cs.molbio.eu@thermofisher.com</v>
      </c>
    </row>
    <row r="40" spans="1:13" s="16" customFormat="1" ht="24.95" customHeight="1" x14ac:dyDescent="0.25">
      <c r="A40" s="16" t="s">
        <v>418</v>
      </c>
      <c r="B40" s="16" t="s">
        <v>14</v>
      </c>
      <c r="C40" s="15" t="s">
        <v>106</v>
      </c>
      <c r="D40" s="15" t="s">
        <v>24</v>
      </c>
      <c r="E40" s="15" t="s">
        <v>24</v>
      </c>
      <c r="F40" s="19"/>
      <c r="H40" s="19"/>
      <c r="I40" s="18"/>
      <c r="J40" s="18"/>
      <c r="K40" s="19" t="s">
        <v>414</v>
      </c>
      <c r="M40" s="106" t="str">
        <f>CONCATENATE(VLOOKUP(B40,'Supplier List'!$A$2:$D$44,2,FALSE))&amp; ","&amp; CHAR(10) &amp; (VLOOKUP(B40,'Supplier List'!$A$2:$D$44,3,FALSE)) &amp; ","&amp;CHAR(10) &amp;(VLOOKUP(B40,'Supplier List'!$A$2:$D$44,4,FALSE))</f>
        <v>Bishop Meadow Rd, Loughborough LE11 5RE,
0845 363 0426,
cs.molbio.eu@thermofisher.com</v>
      </c>
    </row>
    <row r="41" spans="1:13" s="16" customFormat="1" ht="24.95" customHeight="1" x14ac:dyDescent="0.25">
      <c r="A41" s="16" t="s">
        <v>159</v>
      </c>
      <c r="B41" s="16" t="s">
        <v>126</v>
      </c>
      <c r="C41" s="15" t="s">
        <v>160</v>
      </c>
      <c r="D41" s="16" t="s">
        <v>110</v>
      </c>
      <c r="E41" s="15" t="s">
        <v>24</v>
      </c>
      <c r="F41" s="19"/>
      <c r="G41" s="16" t="s">
        <v>419</v>
      </c>
      <c r="H41" s="17" t="s">
        <v>420</v>
      </c>
      <c r="I41" s="18">
        <v>4775</v>
      </c>
      <c r="J41" s="18"/>
      <c r="K41" s="19" t="s">
        <v>161</v>
      </c>
      <c r="L41" s="64"/>
      <c r="M41" s="106" t="str">
        <f>CONCATENATE(VLOOKUP(B41,'Supplier List'!$A$2:$D$44,2,FALSE))&amp; ","&amp; CHAR(10) &amp; (VLOOKUP(B41,'Supplier List'!$A$2:$D$44,3,FALSE)) &amp; ","&amp;CHAR(10) &amp;(VLOOKUP(B41,'Supplier List'!$A$2:$D$44,4,FALSE))</f>
        <v>Ythan Lodge, Drumore Road, Killearn, Glasgow, G63 9NX,
020 8374 0826,
enquiries@alphabiotech.co.uk</v>
      </c>
    </row>
    <row r="42" spans="1:13" s="16" customFormat="1" ht="24.95" customHeight="1" x14ac:dyDescent="0.25">
      <c r="A42" s="16" t="s">
        <v>162</v>
      </c>
      <c r="B42" s="16" t="s">
        <v>126</v>
      </c>
      <c r="C42" s="15" t="s">
        <v>163</v>
      </c>
      <c r="D42" s="16" t="s">
        <v>164</v>
      </c>
      <c r="E42" s="15" t="s">
        <v>24</v>
      </c>
      <c r="F42" s="19"/>
      <c r="G42" s="16" t="s">
        <v>419</v>
      </c>
      <c r="H42" s="17" t="s">
        <v>420</v>
      </c>
      <c r="I42" s="18"/>
      <c r="J42" s="18"/>
      <c r="K42" s="19"/>
      <c r="L42" s="64"/>
      <c r="M42" s="106" t="str">
        <f>CONCATENATE(VLOOKUP(B42,'Supplier List'!$A$2:$D$44,2,FALSE))&amp; ","&amp; CHAR(10) &amp; (VLOOKUP(B42,'Supplier List'!$A$2:$D$44,3,FALSE)) &amp; ","&amp;CHAR(10) &amp;(VLOOKUP(B42,'Supplier List'!$A$2:$D$44,4,FALSE))</f>
        <v>Ythan Lodge, Drumore Road, Killearn, Glasgow, G63 9NX,
020 8374 0826,
enquiries@alphabiotech.co.uk</v>
      </c>
    </row>
    <row r="43" spans="1:13" s="16" customFormat="1" ht="24.95" customHeight="1" x14ac:dyDescent="0.25">
      <c r="A43" s="16" t="s">
        <v>165</v>
      </c>
      <c r="B43" s="14" t="s">
        <v>103</v>
      </c>
      <c r="C43" s="15" t="s">
        <v>166</v>
      </c>
      <c r="D43" s="16" t="s">
        <v>79</v>
      </c>
      <c r="E43" s="15" t="s">
        <v>20</v>
      </c>
      <c r="F43" s="19"/>
      <c r="H43" s="19"/>
      <c r="I43" s="18"/>
      <c r="J43" s="18"/>
      <c r="K43" s="19" t="s">
        <v>167</v>
      </c>
      <c r="M43" s="106" t="str">
        <f>CONCATENATE(VLOOKUP(B43,'Supplier List'!$A$2:$D$44,2,FALSE))&amp; ","&amp; CHAR(10) &amp; (VLOOKUP(B43,'Supplier List'!$A$2:$D$44,3,FALSE)) &amp; ","&amp;CHAR(10) &amp;(VLOOKUP(B43,'Supplier List'!$A$2:$D$44,4,FALSE))</f>
        <v>Science Park, 2 Benham Rd, Chilworth, Southampton SO16 7QJ,
0800 378994,
ukcustserve@promega.com</v>
      </c>
    </row>
    <row r="44" spans="1:13" s="16" customFormat="1" ht="24.95" customHeight="1" x14ac:dyDescent="0.25">
      <c r="A44" s="16" t="s">
        <v>421</v>
      </c>
      <c r="B44" s="16" t="s">
        <v>126</v>
      </c>
      <c r="C44" s="15" t="s">
        <v>422</v>
      </c>
      <c r="D44" s="16" t="s">
        <v>423</v>
      </c>
      <c r="E44" s="15"/>
      <c r="F44" s="19"/>
      <c r="H44" s="19"/>
      <c r="I44" s="18"/>
      <c r="J44" s="18"/>
      <c r="K44" s="19"/>
      <c r="M44" s="106" t="str">
        <f>CONCATENATE(VLOOKUP(B44,'Supplier List'!$A$2:$D$44,2,FALSE))&amp; ","&amp; CHAR(10) &amp; (VLOOKUP(B44,'Supplier List'!$A$2:$D$44,3,FALSE)) &amp; ","&amp;CHAR(10) &amp;(VLOOKUP(B44,'Supplier List'!$A$2:$D$44,4,FALSE))</f>
        <v>Ythan Lodge, Drumore Road, Killearn, Glasgow, G63 9NX,
020 8374 0826,
enquiries@alphabiotech.co.uk</v>
      </c>
    </row>
    <row r="45" spans="1:13" s="16" customFormat="1" ht="24.95" customHeight="1" x14ac:dyDescent="0.25">
      <c r="A45" s="16" t="s">
        <v>168</v>
      </c>
      <c r="B45" s="16" t="s">
        <v>169</v>
      </c>
      <c r="C45" s="15" t="s">
        <v>170</v>
      </c>
      <c r="D45" s="16" t="s">
        <v>127</v>
      </c>
      <c r="E45" s="15" t="s">
        <v>17</v>
      </c>
      <c r="F45" s="19"/>
      <c r="H45" s="19"/>
      <c r="I45" s="18"/>
      <c r="J45" s="18"/>
      <c r="K45" s="19" t="s">
        <v>171</v>
      </c>
      <c r="M45" s="106" t="str">
        <f>CONCATENATE(VLOOKUP(B45,'Supplier List'!$A$2:$D$44,2,FALSE))&amp; ","&amp; CHAR(10) &amp; (VLOOKUP(B45,'Supplier List'!$A$2:$D$44,3,FALSE)) &amp; ","&amp;CHAR(10) &amp;(VLOOKUP(B45,'Supplier List'!$A$2:$D$44,4,FALSE))</f>
        <v xml:space="preserve">40 Parham Dr, Eastleigh SO50 4NU,
023 8048 3000,
</v>
      </c>
    </row>
    <row r="46" spans="1:13" s="16" customFormat="1" ht="24.95" customHeight="1" x14ac:dyDescent="0.25">
      <c r="A46" s="16" t="s">
        <v>172</v>
      </c>
      <c r="B46" s="16" t="s">
        <v>173</v>
      </c>
      <c r="C46" s="15" t="s">
        <v>174</v>
      </c>
      <c r="D46" s="16" t="s">
        <v>175</v>
      </c>
      <c r="E46" s="15" t="s">
        <v>24</v>
      </c>
      <c r="F46" s="19"/>
      <c r="H46" s="19"/>
      <c r="I46" s="18"/>
      <c r="J46" s="18"/>
      <c r="K46" s="19"/>
      <c r="M46" s="106" t="str">
        <f>CONCATENATE(VLOOKUP(B46,'Supplier List'!$A$2:$D$44,2,FALSE))&amp; ","&amp; CHAR(10) &amp; (VLOOKUP(B46,'Supplier List'!$A$2:$D$44,3,FALSE)) &amp; ","&amp;CHAR(10) &amp;(VLOOKUP(B46,'Supplier List'!$A$2:$D$44,4,FALSE))</f>
        <v xml:space="preserve">2 Cranbrook Way, Shirley, Solihull B90 4GT,
01217447674,
</v>
      </c>
    </row>
    <row r="47" spans="1:13" s="16" customFormat="1" ht="24.95" customHeight="1" x14ac:dyDescent="0.25">
      <c r="A47" s="16" t="s">
        <v>176</v>
      </c>
      <c r="B47" s="16" t="s">
        <v>173</v>
      </c>
      <c r="C47" s="15" t="s">
        <v>177</v>
      </c>
      <c r="D47" s="16" t="s">
        <v>175</v>
      </c>
      <c r="E47" s="15" t="s">
        <v>24</v>
      </c>
      <c r="F47" s="19"/>
      <c r="H47" s="19"/>
      <c r="I47" s="18"/>
      <c r="J47" s="18"/>
      <c r="K47" s="19"/>
      <c r="M47" s="106" t="str">
        <f>CONCATENATE(VLOOKUP(B47,'Supplier List'!$A$2:$D$44,2,FALSE))&amp; ","&amp; CHAR(10) &amp; (VLOOKUP(B47,'Supplier List'!$A$2:$D$44,3,FALSE)) &amp; ","&amp;CHAR(10) &amp;(VLOOKUP(B47,'Supplier List'!$A$2:$D$44,4,FALSE))</f>
        <v xml:space="preserve">2 Cranbrook Way, Shirley, Solihull B90 4GT,
01217447674,
</v>
      </c>
    </row>
    <row r="48" spans="1:13" s="16" customFormat="1" ht="24.95" customHeight="1" x14ac:dyDescent="0.25">
      <c r="A48" s="16" t="s">
        <v>180</v>
      </c>
      <c r="B48" s="14" t="s">
        <v>181</v>
      </c>
      <c r="C48" s="15" t="s">
        <v>182</v>
      </c>
      <c r="D48" s="16" t="s">
        <v>183</v>
      </c>
      <c r="E48" s="15" t="s">
        <v>24</v>
      </c>
      <c r="F48" s="19"/>
      <c r="H48" s="19"/>
      <c r="I48" s="18"/>
      <c r="J48" s="18"/>
      <c r="K48" s="19"/>
      <c r="M48" s="106" t="str">
        <f>CONCATENATE(VLOOKUP(B48,'Supplier List'!$A$2:$D$44,2,FALSE))&amp; ","&amp; CHAR(10) &amp; (VLOOKUP(B48,'Supplier List'!$A$2:$D$44,3,FALSE)) &amp; ","&amp;CHAR(10) &amp;(VLOOKUP(B48,'Supplier List'!$A$2:$D$44,4,FALSE))</f>
        <v>55 Diamond Road,Crumlin, Co. Antrim,BT29 4,
44 (0) 28 9442 24,
qnostics.orders@randox.com</v>
      </c>
    </row>
    <row r="49" spans="1:13" s="16" customFormat="1" ht="24.95" customHeight="1" x14ac:dyDescent="0.25">
      <c r="A49" s="16" t="s">
        <v>186</v>
      </c>
      <c r="B49" s="14" t="s">
        <v>19</v>
      </c>
      <c r="C49" s="15" t="s">
        <v>187</v>
      </c>
      <c r="D49" s="16" t="s">
        <v>46</v>
      </c>
      <c r="E49" s="15" t="s">
        <v>17</v>
      </c>
      <c r="F49" s="19"/>
      <c r="H49" s="19"/>
      <c r="I49" s="18"/>
      <c r="J49" s="18"/>
      <c r="K49" s="19"/>
      <c r="M49" s="106" t="str">
        <f>CONCATENATE(VLOOKUP(B49,'Supplier List'!$A$2:$D$44,2,FALSE))&amp; ","&amp; CHAR(10) &amp; (VLOOKUP(B49,'Supplier List'!$A$2:$D$44,3,FALSE)) &amp; ","&amp;CHAR(10) &amp;(VLOOKUP(B49,'Supplier List'!$A$2:$D$44,4,FALSE))</f>
        <v>Fancy Road, Poole, Dorset, BH12 4QH,
 0800717181,
ukorders@sial.com</v>
      </c>
    </row>
    <row r="50" spans="1:13" s="16" customFormat="1" ht="24.95" customHeight="1" x14ac:dyDescent="0.25">
      <c r="A50" s="16" t="s">
        <v>188</v>
      </c>
      <c r="B50" s="16" t="s">
        <v>14</v>
      </c>
      <c r="C50" s="15" t="s">
        <v>189</v>
      </c>
      <c r="D50" s="16" t="s">
        <v>190</v>
      </c>
      <c r="E50" s="15" t="s">
        <v>24</v>
      </c>
      <c r="F50" s="19"/>
      <c r="H50" s="19"/>
      <c r="I50" s="18"/>
      <c r="J50" s="18"/>
      <c r="K50" s="19"/>
      <c r="M50" s="106" t="str">
        <f>CONCATENATE(VLOOKUP(B50,'Supplier List'!$A$2:$D$44,2,FALSE))&amp; ","&amp; CHAR(10) &amp; (VLOOKUP(B50,'Supplier List'!$A$2:$D$44,3,FALSE)) &amp; ","&amp;CHAR(10) &amp;(VLOOKUP(B50,'Supplier List'!$A$2:$D$44,4,FALSE))</f>
        <v>Bishop Meadow Rd, Loughborough LE11 5RE,
0845 363 0426,
cs.molbio.eu@thermofisher.com</v>
      </c>
    </row>
    <row r="51" spans="1:13" s="16" customFormat="1" ht="24.95" customHeight="1" x14ac:dyDescent="0.25">
      <c r="A51" s="16" t="s">
        <v>191</v>
      </c>
      <c r="B51" s="16" t="s">
        <v>54</v>
      </c>
      <c r="C51" s="15" t="s">
        <v>192</v>
      </c>
      <c r="D51" s="16" t="s">
        <v>424</v>
      </c>
      <c r="E51" s="15" t="s">
        <v>24</v>
      </c>
      <c r="F51" s="19"/>
      <c r="G51" s="16" t="s">
        <v>401</v>
      </c>
      <c r="H51" s="17" t="s">
        <v>402</v>
      </c>
      <c r="I51" s="18"/>
      <c r="J51" s="18"/>
      <c r="K51" s="19"/>
      <c r="M51" s="106" t="str">
        <f>CONCATENATE(VLOOKUP(B51,'Supplier List'!$A$2:$D$44,2,FALSE))&amp; ","&amp; CHAR(10) &amp; (VLOOKUP(B51,'Supplier List'!$A$2:$D$44,3,FALSE)) &amp; ","&amp;CHAR(10) &amp;(VLOOKUP(B51,'Supplier List'!$A$2:$D$44,4,FALSE))</f>
        <v>11B Station Approach, Gateshead NE11 0ZF,
0191 4958210,
info@vhbio.com</v>
      </c>
    </row>
    <row r="52" spans="1:13" s="16" customFormat="1" ht="24.95" customHeight="1" x14ac:dyDescent="0.25">
      <c r="A52" s="16" t="s">
        <v>195</v>
      </c>
      <c r="B52" s="16" t="s">
        <v>14</v>
      </c>
      <c r="C52" s="15" t="s">
        <v>196</v>
      </c>
      <c r="D52" s="16" t="s">
        <v>197</v>
      </c>
      <c r="E52" s="15" t="s">
        <v>17</v>
      </c>
      <c r="F52" s="19"/>
      <c r="H52" s="19"/>
      <c r="I52" s="18"/>
      <c r="J52" s="18"/>
      <c r="K52" s="19" t="s">
        <v>198</v>
      </c>
      <c r="M52" s="106" t="str">
        <f>CONCATENATE(VLOOKUP(B52,'Supplier List'!$A$2:$D$44,2,FALSE))&amp; ","&amp; CHAR(10) &amp; (VLOOKUP(B52,'Supplier List'!$A$2:$D$44,3,FALSE)) &amp; ","&amp;CHAR(10) &amp;(VLOOKUP(B52,'Supplier List'!$A$2:$D$44,4,FALSE))</f>
        <v>Bishop Meadow Rd, Loughborough LE11 5RE,
0845 363 0426,
cs.molbio.eu@thermofisher.com</v>
      </c>
    </row>
    <row r="53" spans="1:13" s="16" customFormat="1" ht="24.95" customHeight="1" x14ac:dyDescent="0.25">
      <c r="A53" s="16" t="s">
        <v>199</v>
      </c>
      <c r="B53" s="14" t="s">
        <v>48</v>
      </c>
      <c r="C53" s="15" t="s">
        <v>200</v>
      </c>
      <c r="D53" s="16" t="s">
        <v>52</v>
      </c>
      <c r="E53" s="15" t="s">
        <v>17</v>
      </c>
      <c r="F53" s="19"/>
      <c r="H53" s="19"/>
      <c r="I53" s="18"/>
      <c r="J53" s="18"/>
      <c r="K53" s="19"/>
      <c r="M53" s="106" t="str">
        <f>CONCATENATE(VLOOKUP(B53,'Supplier List'!$A$2:$D$44,2,FALSE))&amp; ","&amp; CHAR(10) &amp; (VLOOKUP(B53,'Supplier List'!$A$2:$D$44,3,FALSE)) &amp; ","&amp;CHAR(10) &amp;(VLOOKUP(B53,'Supplier List'!$A$2:$D$44,4,FALSE))</f>
        <v>Hunter Blvd, Lutterworth LE17 4XN,
0800 22 33 44,
uksales@uk.vwr.com</v>
      </c>
    </row>
    <row r="54" spans="1:13" s="16" customFormat="1" ht="24.95" customHeight="1" x14ac:dyDescent="0.25">
      <c r="A54" s="16" t="s">
        <v>425</v>
      </c>
      <c r="B54" s="16" t="s">
        <v>54</v>
      </c>
      <c r="C54" s="15" t="s">
        <v>202</v>
      </c>
      <c r="D54" s="16" t="s">
        <v>203</v>
      </c>
      <c r="E54" s="15" t="s">
        <v>17</v>
      </c>
      <c r="F54" s="19"/>
      <c r="G54" s="16" t="s">
        <v>401</v>
      </c>
      <c r="H54" s="17" t="s">
        <v>402</v>
      </c>
      <c r="I54" s="18"/>
      <c r="J54" s="18"/>
      <c r="K54" s="19" t="s">
        <v>204</v>
      </c>
      <c r="M54" s="106" t="str">
        <f>CONCATENATE(VLOOKUP(B54,'Supplier List'!$A$2:$D$44,2,FALSE))&amp; ","&amp; CHAR(10) &amp; (VLOOKUP(B54,'Supplier List'!$A$2:$D$44,3,FALSE)) &amp; ","&amp;CHAR(10) &amp;(VLOOKUP(B54,'Supplier List'!$A$2:$D$44,4,FALSE))</f>
        <v>11B Station Approach, Gateshead NE11 0ZF,
0191 4958210,
info@vhbio.com</v>
      </c>
    </row>
    <row r="55" spans="1:13" s="16" customFormat="1" ht="24.95" customHeight="1" x14ac:dyDescent="0.25">
      <c r="A55" s="16" t="s">
        <v>201</v>
      </c>
      <c r="B55" s="16" t="s">
        <v>54</v>
      </c>
      <c r="C55" s="15" t="s">
        <v>202</v>
      </c>
      <c r="D55" s="16" t="s">
        <v>203</v>
      </c>
      <c r="E55" s="15" t="s">
        <v>17</v>
      </c>
      <c r="F55" s="19"/>
      <c r="G55" s="16" t="s">
        <v>401</v>
      </c>
      <c r="H55" s="17" t="s">
        <v>402</v>
      </c>
      <c r="I55" s="18"/>
      <c r="J55" s="18"/>
      <c r="K55" s="19" t="s">
        <v>204</v>
      </c>
      <c r="M55" s="106" t="str">
        <f>CONCATENATE(VLOOKUP(B55,'Supplier List'!$A$2:$D$44,2,FALSE))&amp; ","&amp; CHAR(10) &amp; (VLOOKUP(B55,'Supplier List'!$A$2:$D$44,3,FALSE)) &amp; ","&amp;CHAR(10) &amp;(VLOOKUP(B55,'Supplier List'!$A$2:$D$44,4,FALSE))</f>
        <v>11B Station Approach, Gateshead NE11 0ZF,
0191 4958210,
info@vhbio.com</v>
      </c>
    </row>
    <row r="56" spans="1:13" s="16" customFormat="1" ht="24.95" customHeight="1" x14ac:dyDescent="0.25">
      <c r="A56" s="16" t="s">
        <v>205</v>
      </c>
      <c r="B56" s="16" t="s">
        <v>206</v>
      </c>
      <c r="C56" s="15" t="s">
        <v>207</v>
      </c>
      <c r="D56" s="16" t="s">
        <v>208</v>
      </c>
      <c r="E56" s="15" t="s">
        <v>209</v>
      </c>
      <c r="F56" s="19"/>
      <c r="H56" s="19"/>
      <c r="I56" s="18"/>
      <c r="J56" s="18"/>
      <c r="K56" s="19" t="s">
        <v>210</v>
      </c>
      <c r="M56" s="106" t="e">
        <f>CONCATENATE(VLOOKUP(B56,'Supplier List'!$A$2:$D$44,2,FALSE))&amp; ","&amp; CHAR(10) &amp; (VLOOKUP(B56,'Supplier List'!$A$2:$D$44,3,FALSE)) &amp; ","&amp;CHAR(10) &amp;(VLOOKUP(B56,'Supplier List'!$A$2:$D$44,4,FALSE))</f>
        <v>#N/A</v>
      </c>
    </row>
    <row r="57" spans="1:13" s="16" customFormat="1" ht="24.95" customHeight="1" x14ac:dyDescent="0.25">
      <c r="A57" s="16" t="s">
        <v>211</v>
      </c>
      <c r="B57" s="16" t="s">
        <v>206</v>
      </c>
      <c r="C57" s="15" t="s">
        <v>212</v>
      </c>
      <c r="D57" s="16" t="s">
        <v>208</v>
      </c>
      <c r="E57" s="15" t="s">
        <v>209</v>
      </c>
      <c r="F57" s="19"/>
      <c r="H57" s="19"/>
      <c r="I57" s="18"/>
      <c r="J57" s="18"/>
      <c r="K57" s="19" t="s">
        <v>213</v>
      </c>
      <c r="M57" s="106" t="e">
        <f>CONCATENATE(VLOOKUP(B57,'Supplier List'!$A$2:$D$44,2,FALSE))&amp; ","&amp; CHAR(10) &amp; (VLOOKUP(B57,'Supplier List'!$A$2:$D$44,3,FALSE)) &amp; ","&amp;CHAR(10) &amp;(VLOOKUP(B57,'Supplier List'!$A$2:$D$44,4,FALSE))</f>
        <v>#N/A</v>
      </c>
    </row>
    <row r="58" spans="1:13" s="16" customFormat="1" ht="24.95" customHeight="1" x14ac:dyDescent="0.25">
      <c r="A58" s="16" t="s">
        <v>47</v>
      </c>
      <c r="B58" s="16" t="s">
        <v>48</v>
      </c>
      <c r="C58" s="15" t="s">
        <v>49</v>
      </c>
      <c r="D58" s="16" t="s">
        <v>29</v>
      </c>
      <c r="E58" s="15" t="s">
        <v>17</v>
      </c>
      <c r="F58" s="19"/>
      <c r="G58" s="16" t="s">
        <v>426</v>
      </c>
      <c r="H58" s="17" t="s">
        <v>427</v>
      </c>
      <c r="I58" s="18">
        <v>32.049999999999997</v>
      </c>
      <c r="J58" s="18">
        <v>15</v>
      </c>
      <c r="K58" s="19"/>
      <c r="M58" s="106" t="str">
        <f>CONCATENATE(VLOOKUP(B58,'Supplier List'!$A$2:$D$44,2,FALSE))&amp; ","&amp; CHAR(10) &amp; (VLOOKUP(B58,'Supplier List'!$A$2:$D$44,3,FALSE)) &amp; ","&amp;CHAR(10) &amp;(VLOOKUP(B58,'Supplier List'!$A$2:$D$44,4,FALSE))</f>
        <v>Hunter Blvd, Lutterworth LE17 4XN,
0800 22 33 44,
uksales@uk.vwr.com</v>
      </c>
    </row>
    <row r="59" spans="1:13" s="16" customFormat="1" ht="24.95" customHeight="1" x14ac:dyDescent="0.25">
      <c r="A59" s="16" t="s">
        <v>121</v>
      </c>
      <c r="B59" s="16" t="s">
        <v>118</v>
      </c>
      <c r="C59" s="15" t="s">
        <v>122</v>
      </c>
      <c r="D59" s="16" t="s">
        <v>123</v>
      </c>
      <c r="E59" s="15"/>
      <c r="F59" s="17" t="s">
        <v>124</v>
      </c>
      <c r="H59" s="19"/>
      <c r="I59" s="18">
        <v>273</v>
      </c>
      <c r="J59" s="18"/>
      <c r="K59" s="19"/>
      <c r="M59" s="106" t="str">
        <f>CONCATENATE(VLOOKUP(B59,'Supplier List'!$A$2:$D$44,2,FALSE))&amp; ","&amp; CHAR(10) &amp; (VLOOKUP(B59,'Supplier List'!$A$2:$D$44,3,FALSE)) &amp; ","&amp;CHAR(10) &amp;(VLOOKUP(B59,'Supplier List'!$A$2:$D$44,4,FALSE))</f>
        <v>Endeavour House, The Langford Business Park, Langford Ln, Kidlington OX5 1GE,
01865 852700,
antibody_orders_uk@bio-rad.com</v>
      </c>
    </row>
    <row r="60" spans="1:13" s="16" customFormat="1" ht="24.95" customHeight="1" x14ac:dyDescent="0.25">
      <c r="A60" s="16" t="s">
        <v>428</v>
      </c>
      <c r="B60" s="16" t="s">
        <v>39</v>
      </c>
      <c r="C60" s="15" t="s">
        <v>43</v>
      </c>
      <c r="D60" s="16" t="s">
        <v>41</v>
      </c>
      <c r="E60" s="15" t="s">
        <v>20</v>
      </c>
      <c r="F60" s="19"/>
      <c r="G60" s="20" t="s">
        <v>429</v>
      </c>
      <c r="H60" s="19"/>
      <c r="I60" s="20">
        <v>401.85</v>
      </c>
      <c r="J60" s="18"/>
      <c r="K60" s="19"/>
      <c r="M60" s="106" t="str">
        <f>CONCATENATE(VLOOKUP(B60,'Supplier List'!$A$2:$D$44,2,FALSE))&amp; ","&amp; CHAR(10) &amp; (VLOOKUP(B60,'Supplier List'!$A$2:$D$44,3,FALSE)) &amp; ","&amp;CHAR(10) &amp;(VLOOKUP(B60,'Supplier List'!$A$2:$D$44,4,FALSE))</f>
        <v xml:space="preserve">Building 7100, Cambridge Research Park, Beach Drive, Waterbeach, Cambridge CB25 9TL,
01223 859860,
</v>
      </c>
    </row>
    <row r="61" spans="1:13" s="16" customFormat="1" ht="24.95" customHeight="1" x14ac:dyDescent="0.25">
      <c r="A61" s="16" t="s">
        <v>430</v>
      </c>
      <c r="B61" s="16" t="s">
        <v>39</v>
      </c>
      <c r="C61" s="15" t="s">
        <v>42</v>
      </c>
      <c r="D61" s="16" t="s">
        <v>41</v>
      </c>
      <c r="E61" s="15" t="s">
        <v>20</v>
      </c>
      <c r="F61" s="19"/>
      <c r="G61" s="20" t="s">
        <v>429</v>
      </c>
      <c r="H61" s="19"/>
      <c r="I61" s="20">
        <v>381.9</v>
      </c>
      <c r="J61" s="18"/>
      <c r="K61" s="19"/>
      <c r="M61" s="106" t="str">
        <f>CONCATENATE(VLOOKUP(B61,'Supplier List'!$A$2:$D$44,2,FALSE))&amp; ","&amp; CHAR(10) &amp; (VLOOKUP(B61,'Supplier List'!$A$2:$D$44,3,FALSE)) &amp; ","&amp;CHAR(10) &amp;(VLOOKUP(B61,'Supplier List'!$A$2:$D$44,4,FALSE))</f>
        <v xml:space="preserve">Building 7100, Cambridge Research Park, Beach Drive, Waterbeach, Cambridge CB25 9TL,
01223 859860,
</v>
      </c>
    </row>
    <row r="62" spans="1:13" s="16" customFormat="1" ht="24.95" customHeight="1" x14ac:dyDescent="0.25">
      <c r="A62" s="16" t="s">
        <v>431</v>
      </c>
      <c r="B62" s="16" t="s">
        <v>39</v>
      </c>
      <c r="C62" s="15" t="s">
        <v>40</v>
      </c>
      <c r="D62" s="16" t="s">
        <v>41</v>
      </c>
      <c r="E62" s="15" t="s">
        <v>20</v>
      </c>
      <c r="F62" s="19"/>
      <c r="G62" s="20" t="s">
        <v>429</v>
      </c>
      <c r="H62" s="19"/>
      <c r="I62" s="20">
        <v>381.9</v>
      </c>
      <c r="J62" s="18"/>
      <c r="K62" s="19"/>
      <c r="M62" s="106" t="str">
        <f>CONCATENATE(VLOOKUP(B62,'Supplier List'!$A$2:$D$44,2,FALSE))&amp; ","&amp; CHAR(10) &amp; (VLOOKUP(B62,'Supplier List'!$A$2:$D$44,3,FALSE)) &amp; ","&amp;CHAR(10) &amp;(VLOOKUP(B62,'Supplier List'!$A$2:$D$44,4,FALSE))</f>
        <v xml:space="preserve">Building 7100, Cambridge Research Park, Beach Drive, Waterbeach, Cambridge CB25 9TL,
01223 859860,
</v>
      </c>
    </row>
    <row r="63" spans="1:13" s="16" customFormat="1" ht="24.95" customHeight="1" x14ac:dyDescent="0.25">
      <c r="A63" s="16" t="s">
        <v>59</v>
      </c>
      <c r="B63" s="16" t="s">
        <v>60</v>
      </c>
      <c r="C63" s="15" t="s">
        <v>61</v>
      </c>
      <c r="D63" s="16" t="s">
        <v>62</v>
      </c>
      <c r="E63" s="15"/>
      <c r="F63" s="17" t="s">
        <v>63</v>
      </c>
      <c r="H63" s="19"/>
      <c r="I63" s="18">
        <v>237</v>
      </c>
      <c r="J63" s="18"/>
      <c r="K63" s="19"/>
      <c r="M63" s="106" t="str">
        <f>CONCATENATE(VLOOKUP(B63,'Supplier List'!$A$2:$D$44,2,FALSE))&amp; ","&amp; CHAR(10) &amp; (VLOOKUP(B63,'Supplier List'!$A$2:$D$44,3,FALSE)) &amp; ","&amp;CHAR(10) &amp;(VLOOKUP(B63,'Supplier List'!$A$2:$D$44,4,FALSE))</f>
        <v>Cambridge House, St Thomas’ Place, Cambridgeshire Business Park, Ely, CB7 4EX,
01638 782600,
orders@stratech.co.uk</v>
      </c>
    </row>
    <row r="64" spans="1:13" s="16" customFormat="1" ht="24.95" customHeight="1" x14ac:dyDescent="0.25">
      <c r="A64" s="16" t="s">
        <v>21</v>
      </c>
      <c r="B64" s="16" t="s">
        <v>19</v>
      </c>
      <c r="C64" s="15" t="s">
        <v>22</v>
      </c>
      <c r="D64" s="16" t="s">
        <v>23</v>
      </c>
      <c r="E64" s="15"/>
      <c r="F64" s="19"/>
      <c r="H64" s="19"/>
      <c r="I64" s="18"/>
      <c r="J64" s="18"/>
      <c r="K64" s="19"/>
      <c r="M64" s="106" t="str">
        <f>CONCATENATE(VLOOKUP(B64,'Supplier List'!$A$2:$D$44,2,FALSE))&amp; ","&amp; CHAR(10) &amp; (VLOOKUP(B64,'Supplier List'!$A$2:$D$44,3,FALSE)) &amp; ","&amp;CHAR(10) &amp;(VLOOKUP(B64,'Supplier List'!$A$2:$D$44,4,FALSE))</f>
        <v>Fancy Road, Poole, Dorset, BH12 4QH,
 0800717181,
ukorders@sial.com</v>
      </c>
    </row>
    <row r="65" spans="1:13" s="16" customFormat="1" ht="24.95" customHeight="1" x14ac:dyDescent="0.25">
      <c r="A65" s="16" t="s">
        <v>30</v>
      </c>
      <c r="B65" s="16" t="s">
        <v>19</v>
      </c>
      <c r="C65" s="15" t="s">
        <v>31</v>
      </c>
      <c r="D65" s="16" t="s">
        <v>32</v>
      </c>
      <c r="E65" s="15"/>
      <c r="F65" s="19"/>
      <c r="H65" s="19"/>
      <c r="I65" s="18">
        <v>46.8</v>
      </c>
      <c r="J65" s="18"/>
      <c r="K65" s="19"/>
      <c r="M65" s="106" t="str">
        <f>CONCATENATE(VLOOKUP(B65,'Supplier List'!$A$2:$D$44,2,FALSE))&amp; ","&amp; CHAR(10) &amp; (VLOOKUP(B65,'Supplier List'!$A$2:$D$44,3,FALSE)) &amp; ","&amp;CHAR(10) &amp;(VLOOKUP(B65,'Supplier List'!$A$2:$D$44,4,FALSE))</f>
        <v>Fancy Road, Poole, Dorset, BH12 4QH,
 0800717181,
ukorders@sial.com</v>
      </c>
    </row>
    <row r="66" spans="1:13" s="16" customFormat="1" ht="24.95" customHeight="1" x14ac:dyDescent="0.25">
      <c r="A66" s="16" t="s">
        <v>156</v>
      </c>
      <c r="B66" s="16" t="s">
        <v>19</v>
      </c>
      <c r="C66" s="15" t="s">
        <v>157</v>
      </c>
      <c r="D66" s="16" t="s">
        <v>158</v>
      </c>
      <c r="E66" s="15"/>
      <c r="F66" s="19"/>
      <c r="H66" s="19"/>
      <c r="I66" s="18">
        <v>60.5</v>
      </c>
      <c r="J66" s="18"/>
      <c r="K66" s="19"/>
      <c r="M66" s="106" t="str">
        <f>CONCATENATE(VLOOKUP(B66,'Supplier List'!$A$2:$D$44,2,FALSE))&amp; ","&amp; CHAR(10) &amp; (VLOOKUP(B66,'Supplier List'!$A$2:$D$44,3,FALSE)) &amp; ","&amp;CHAR(10) &amp;(VLOOKUP(B66,'Supplier List'!$A$2:$D$44,4,FALSE))</f>
        <v>Fancy Road, Poole, Dorset, BH12 4QH,
 0800717181,
ukorders@sial.com</v>
      </c>
    </row>
    <row r="67" spans="1:13" s="16" customFormat="1" ht="24.95" customHeight="1" x14ac:dyDescent="0.25">
      <c r="A67" s="16" t="s">
        <v>50</v>
      </c>
      <c r="B67" s="16" t="s">
        <v>19</v>
      </c>
      <c r="C67" s="15" t="s">
        <v>51</v>
      </c>
      <c r="D67" s="16" t="s">
        <v>52</v>
      </c>
      <c r="E67" s="15"/>
      <c r="F67" s="19"/>
      <c r="H67" s="19"/>
      <c r="I67" s="18">
        <v>176</v>
      </c>
      <c r="J67" s="18"/>
      <c r="K67" s="19"/>
      <c r="M67" s="106" t="str">
        <f>CONCATENATE(VLOOKUP(B67,'Supplier List'!$A$2:$D$44,2,FALSE))&amp; ","&amp; CHAR(10) &amp; (VLOOKUP(B67,'Supplier List'!$A$2:$D$44,3,FALSE)) &amp; ","&amp;CHAR(10) &amp;(VLOOKUP(B67,'Supplier List'!$A$2:$D$44,4,FALSE))</f>
        <v>Fancy Road, Poole, Dorset, BH12 4QH,
 0800717181,
ukorders@sial.com</v>
      </c>
    </row>
    <row r="68" spans="1:13" s="16" customFormat="1" ht="24.95" customHeight="1" x14ac:dyDescent="0.25">
      <c r="A68" s="16" t="s">
        <v>137</v>
      </c>
      <c r="B68" s="16" t="s">
        <v>19</v>
      </c>
      <c r="C68" s="15" t="s">
        <v>138</v>
      </c>
      <c r="D68" s="16" t="s">
        <v>139</v>
      </c>
      <c r="E68" s="15"/>
      <c r="F68" s="19"/>
      <c r="H68" s="19"/>
      <c r="I68" s="18">
        <v>55.1</v>
      </c>
      <c r="J68" s="18"/>
      <c r="K68" s="19"/>
      <c r="M68" s="106" t="str">
        <f>CONCATENATE(VLOOKUP(B68,'Supplier List'!$A$2:$D$44,2,FALSE))&amp; ","&amp; CHAR(10) &amp; (VLOOKUP(B68,'Supplier List'!$A$2:$D$44,3,FALSE)) &amp; ","&amp;CHAR(10) &amp;(VLOOKUP(B68,'Supplier List'!$A$2:$D$44,4,FALSE))</f>
        <v>Fancy Road, Poole, Dorset, BH12 4QH,
 0800717181,
ukorders@sial.com</v>
      </c>
    </row>
    <row r="69" spans="1:13" s="16" customFormat="1" ht="24.95" customHeight="1" x14ac:dyDescent="0.25">
      <c r="A69" s="16" t="s">
        <v>178</v>
      </c>
      <c r="B69" s="16" t="s">
        <v>19</v>
      </c>
      <c r="C69" s="15" t="s">
        <v>179</v>
      </c>
      <c r="D69" s="16" t="s">
        <v>29</v>
      </c>
      <c r="E69" s="15"/>
      <c r="F69" s="19"/>
      <c r="H69" s="19"/>
      <c r="I69" s="18"/>
      <c r="J69" s="18"/>
      <c r="K69" s="19"/>
      <c r="M69" s="106" t="str">
        <f>CONCATENATE(VLOOKUP(B69,'Supplier List'!$A$2:$D$44,2,FALSE))&amp; ","&amp; CHAR(10) &amp; (VLOOKUP(B69,'Supplier List'!$A$2:$D$44,3,FALSE)) &amp; ","&amp;CHAR(10) &amp;(VLOOKUP(B69,'Supplier List'!$A$2:$D$44,4,FALSE))</f>
        <v>Fancy Road, Poole, Dorset, BH12 4QH,
 0800717181,
ukorders@sial.com</v>
      </c>
    </row>
    <row r="70" spans="1:13" s="16" customFormat="1" ht="24.95" customHeight="1" x14ac:dyDescent="0.25">
      <c r="A70" s="16" t="s">
        <v>119</v>
      </c>
      <c r="B70" s="16" t="s">
        <v>118</v>
      </c>
      <c r="C70" s="15" t="s">
        <v>120</v>
      </c>
      <c r="E70" s="15"/>
      <c r="F70" s="19"/>
      <c r="H70" s="19"/>
      <c r="I70" s="18">
        <v>215</v>
      </c>
      <c r="J70" s="18">
        <v>15.5</v>
      </c>
      <c r="K70" s="19"/>
      <c r="M70" s="106" t="str">
        <f>CONCATENATE(VLOOKUP(B70,'Supplier List'!$A$2:$D$44,2,FALSE))&amp; ","&amp; CHAR(10) &amp; (VLOOKUP(B70,'Supplier List'!$A$2:$D$44,3,FALSE)) &amp; ","&amp;CHAR(10) &amp;(VLOOKUP(B70,'Supplier List'!$A$2:$D$44,4,FALSE))</f>
        <v>Endeavour House, The Langford Business Park, Langford Ln, Kidlington OX5 1GE,
01865 852700,
antibody_orders_uk@bio-rad.com</v>
      </c>
    </row>
    <row r="71" spans="1:13" s="16" customFormat="1" ht="24.95" customHeight="1" x14ac:dyDescent="0.25">
      <c r="A71" s="16" t="s">
        <v>33</v>
      </c>
      <c r="B71" s="16" t="s">
        <v>19</v>
      </c>
      <c r="C71" s="15" t="s">
        <v>34</v>
      </c>
      <c r="D71" s="16" t="s">
        <v>35</v>
      </c>
      <c r="E71" s="15"/>
      <c r="F71" s="19"/>
      <c r="G71" s="16">
        <v>24445907</v>
      </c>
      <c r="H71" s="19"/>
      <c r="I71" s="18">
        <v>41.4</v>
      </c>
      <c r="J71" s="18"/>
      <c r="K71" s="19"/>
      <c r="M71" s="106" t="str">
        <f>CONCATENATE(VLOOKUP(B71,'Supplier List'!$A$2:$D$44,2,FALSE))&amp; ","&amp; CHAR(10) &amp; (VLOOKUP(B71,'Supplier List'!$A$2:$D$44,3,FALSE)) &amp; ","&amp;CHAR(10) &amp;(VLOOKUP(B71,'Supplier List'!$A$2:$D$44,4,FALSE))</f>
        <v>Fancy Road, Poole, Dorset, BH12 4QH,
 0800717181,
ukorders@sial.com</v>
      </c>
    </row>
    <row r="72" spans="1:13" s="16" customFormat="1" ht="24.95" customHeight="1" x14ac:dyDescent="0.25">
      <c r="A72" s="16" t="s">
        <v>70</v>
      </c>
      <c r="B72" s="16" t="s">
        <v>19</v>
      </c>
      <c r="C72" s="15" t="s">
        <v>71</v>
      </c>
      <c r="D72" s="16" t="s">
        <v>52</v>
      </c>
      <c r="E72" s="15"/>
      <c r="F72" s="19"/>
      <c r="G72" s="16">
        <v>24445907</v>
      </c>
      <c r="H72" s="19"/>
      <c r="I72" s="18"/>
      <c r="J72" s="18"/>
      <c r="K72" s="19"/>
      <c r="M72" s="106" t="str">
        <f>CONCATENATE(VLOOKUP(B72,'Supplier List'!$A$2:$D$44,2,FALSE))&amp; ","&amp; CHAR(10) &amp; (VLOOKUP(B72,'Supplier List'!$A$2:$D$44,3,FALSE)) &amp; ","&amp;CHAR(10) &amp;(VLOOKUP(B72,'Supplier List'!$A$2:$D$44,4,FALSE))</f>
        <v>Fancy Road, Poole, Dorset, BH12 4QH,
 0800717181,
ukorders@sial.com</v>
      </c>
    </row>
    <row r="73" spans="1:13" s="16" customFormat="1" ht="24.95" customHeight="1" x14ac:dyDescent="0.25">
      <c r="A73" s="16" t="s">
        <v>184</v>
      </c>
      <c r="B73" s="16" t="s">
        <v>19</v>
      </c>
      <c r="C73" s="15" t="s">
        <v>185</v>
      </c>
      <c r="D73" s="16" t="s">
        <v>52</v>
      </c>
      <c r="E73" s="15"/>
      <c r="F73" s="19"/>
      <c r="G73" s="16">
        <v>24445907</v>
      </c>
      <c r="H73" s="19"/>
      <c r="I73" s="18"/>
      <c r="J73" s="18"/>
      <c r="K73" s="19"/>
      <c r="M73" s="106" t="str">
        <f>CONCATENATE(VLOOKUP(B73,'Supplier List'!$A$2:$D$44,2,FALSE))&amp; ","&amp; CHAR(10) &amp; (VLOOKUP(B73,'Supplier List'!$A$2:$D$44,3,FALSE)) &amp; ","&amp;CHAR(10) &amp;(VLOOKUP(B73,'Supplier List'!$A$2:$D$44,4,FALSE))</f>
        <v>Fancy Road, Poole, Dorset, BH12 4QH,
 0800717181,
ukorders@sial.com</v>
      </c>
    </row>
    <row r="74" spans="1:13" s="16" customFormat="1" ht="24.95" customHeight="1" x14ac:dyDescent="0.25">
      <c r="A74" s="16" t="s">
        <v>140</v>
      </c>
      <c r="B74" s="16" t="s">
        <v>141</v>
      </c>
      <c r="C74" s="15" t="s">
        <v>142</v>
      </c>
      <c r="D74" s="16" t="s">
        <v>143</v>
      </c>
      <c r="E74" s="15"/>
      <c r="F74" s="19"/>
      <c r="H74" s="19"/>
      <c r="I74" s="18">
        <v>19.55</v>
      </c>
      <c r="J74" s="18"/>
      <c r="K74" s="19"/>
      <c r="M74" s="106" t="str">
        <f>CONCATENATE(VLOOKUP(B74,'Supplier List'!$A$2:$D$44,2,FALSE))&amp; ","&amp; CHAR(10) &amp; (VLOOKUP(B74,'Supplier List'!$A$2:$D$44,3,FALSE)) &amp; ","&amp;CHAR(10) &amp;(VLOOKUP(B74,'Supplier List'!$A$2:$D$44,4,FALSE))</f>
        <v xml:space="preserve">5 Tanners Dr, Blakelands, Milton Keynes MK14 5BU,
01908 283800,
</v>
      </c>
    </row>
    <row r="75" spans="1:13" s="16" customFormat="1" ht="24.95" customHeight="1" x14ac:dyDescent="0.25">
      <c r="A75" s="16" t="s">
        <v>146</v>
      </c>
      <c r="B75" s="16" t="s">
        <v>141</v>
      </c>
      <c r="C75" s="15" t="s">
        <v>147</v>
      </c>
      <c r="D75" s="16" t="s">
        <v>143</v>
      </c>
      <c r="E75" s="15"/>
      <c r="F75" s="19"/>
      <c r="H75" s="19"/>
      <c r="I75" s="18">
        <v>14.7</v>
      </c>
      <c r="J75" s="18"/>
      <c r="K75" s="19"/>
      <c r="M75" s="106" t="str">
        <f>CONCATENATE(VLOOKUP(B75,'Supplier List'!$A$2:$D$44,2,FALSE))&amp; ","&amp; CHAR(10) &amp; (VLOOKUP(B75,'Supplier List'!$A$2:$D$44,3,FALSE)) &amp; ","&amp;CHAR(10) &amp;(VLOOKUP(B75,'Supplier List'!$A$2:$D$44,4,FALSE))</f>
        <v xml:space="preserve">5 Tanners Dr, Blakelands, Milton Keynes MK14 5BU,
01908 283800,
</v>
      </c>
    </row>
    <row r="76" spans="1:13" s="16" customFormat="1" ht="24.95" customHeight="1" x14ac:dyDescent="0.25">
      <c r="A76" s="16" t="s">
        <v>144</v>
      </c>
      <c r="B76" s="16" t="s">
        <v>141</v>
      </c>
      <c r="C76" s="15" t="s">
        <v>145</v>
      </c>
      <c r="D76" s="16" t="s">
        <v>143</v>
      </c>
      <c r="E76" s="15"/>
      <c r="F76" s="19"/>
      <c r="H76" s="19"/>
      <c r="I76" s="18">
        <v>21.6</v>
      </c>
      <c r="J76" s="18"/>
      <c r="K76" s="19"/>
      <c r="M76" s="106" t="str">
        <f>CONCATENATE(VLOOKUP(B76,'Supplier List'!$A$2:$D$44,2,FALSE))&amp; ","&amp; CHAR(10) &amp; (VLOOKUP(B76,'Supplier List'!$A$2:$D$44,3,FALSE)) &amp; ","&amp;CHAR(10) &amp;(VLOOKUP(B76,'Supplier List'!$A$2:$D$44,4,FALSE))</f>
        <v xml:space="preserve">5 Tanners Dr, Blakelands, Milton Keynes MK14 5BU,
01908 283800,
</v>
      </c>
    </row>
    <row r="77" spans="1:13" s="16" customFormat="1" ht="24.95" customHeight="1" x14ac:dyDescent="0.25">
      <c r="A77" s="16" t="s">
        <v>148</v>
      </c>
      <c r="B77" s="16" t="s">
        <v>141</v>
      </c>
      <c r="C77" s="15" t="s">
        <v>149</v>
      </c>
      <c r="D77" s="16" t="s">
        <v>143</v>
      </c>
      <c r="E77" s="15"/>
      <c r="F77" s="19"/>
      <c r="H77" s="19"/>
      <c r="I77" s="18">
        <v>21.95</v>
      </c>
      <c r="J77" s="18"/>
      <c r="K77" s="19"/>
      <c r="M77" s="106" t="str">
        <f>CONCATENATE(VLOOKUP(B77,'Supplier List'!$A$2:$D$44,2,FALSE))&amp; ","&amp; CHAR(10) &amp; (VLOOKUP(B77,'Supplier List'!$A$2:$D$44,3,FALSE)) &amp; ","&amp;CHAR(10) &amp;(VLOOKUP(B77,'Supplier List'!$A$2:$D$44,4,FALSE))</f>
        <v xml:space="preserve">5 Tanners Dr, Blakelands, Milton Keynes MK14 5BU,
01908 283800,
</v>
      </c>
    </row>
    <row r="78" spans="1:13" s="16" customFormat="1" ht="24.95" customHeight="1" x14ac:dyDescent="0.25">
      <c r="A78" s="16" t="s">
        <v>150</v>
      </c>
      <c r="B78" s="16" t="s">
        <v>141</v>
      </c>
      <c r="C78" s="15" t="s">
        <v>151</v>
      </c>
      <c r="D78" s="16" t="s">
        <v>143</v>
      </c>
      <c r="E78" s="15"/>
      <c r="F78" s="19"/>
      <c r="H78" s="19"/>
      <c r="I78" s="18">
        <v>44.4</v>
      </c>
      <c r="J78" s="18"/>
      <c r="K78" s="19"/>
      <c r="M78" s="106" t="str">
        <f>CONCATENATE(VLOOKUP(B78,'Supplier List'!$A$2:$D$44,2,FALSE))&amp; ","&amp; CHAR(10) &amp; (VLOOKUP(B78,'Supplier List'!$A$2:$D$44,3,FALSE)) &amp; ","&amp;CHAR(10) &amp;(VLOOKUP(B78,'Supplier List'!$A$2:$D$44,4,FALSE))</f>
        <v xml:space="preserve">5 Tanners Dr, Blakelands, Milton Keynes MK14 5BU,
01908 283800,
</v>
      </c>
    </row>
    <row r="79" spans="1:13" s="16" customFormat="1" ht="24.95" customHeight="1" x14ac:dyDescent="0.25">
      <c r="A79" s="16" t="s">
        <v>154</v>
      </c>
      <c r="B79" s="16" t="s">
        <v>141</v>
      </c>
      <c r="C79" s="15" t="s">
        <v>155</v>
      </c>
      <c r="D79" s="16" t="s">
        <v>143</v>
      </c>
      <c r="E79" s="15"/>
      <c r="F79" s="19"/>
      <c r="H79" s="19"/>
      <c r="I79" s="18">
        <v>44.4</v>
      </c>
      <c r="J79" s="18"/>
      <c r="K79" s="19"/>
      <c r="M79" s="106" t="str">
        <f>CONCATENATE(VLOOKUP(B79,'Supplier List'!$A$2:$D$44,2,FALSE))&amp; ","&amp; CHAR(10) &amp; (VLOOKUP(B79,'Supplier List'!$A$2:$D$44,3,FALSE)) &amp; ","&amp;CHAR(10) &amp;(VLOOKUP(B79,'Supplier List'!$A$2:$D$44,4,FALSE))</f>
        <v xml:space="preserve">5 Tanners Dr, Blakelands, Milton Keynes MK14 5BU,
01908 283800,
</v>
      </c>
    </row>
    <row r="80" spans="1:13" s="16" customFormat="1" ht="24.95" customHeight="1" x14ac:dyDescent="0.25">
      <c r="A80" s="16" t="s">
        <v>152</v>
      </c>
      <c r="B80" s="16" t="s">
        <v>141</v>
      </c>
      <c r="C80" s="15" t="s">
        <v>153</v>
      </c>
      <c r="D80" s="16" t="s">
        <v>143</v>
      </c>
      <c r="E80" s="15"/>
      <c r="F80" s="19"/>
      <c r="H80" s="19"/>
      <c r="I80" s="18">
        <v>44.05</v>
      </c>
      <c r="J80" s="18"/>
      <c r="K80" s="19"/>
      <c r="M80" s="106" t="str">
        <f>CONCATENATE(VLOOKUP(B80,'Supplier List'!$A$2:$D$44,2,FALSE))&amp; ","&amp; CHAR(10) &amp; (VLOOKUP(B80,'Supplier List'!$A$2:$D$44,3,FALSE)) &amp; ","&amp;CHAR(10) &amp;(VLOOKUP(B80,'Supplier List'!$A$2:$D$44,4,FALSE))</f>
        <v xml:space="preserve">5 Tanners Dr, Blakelands, Milton Keynes MK14 5BU,
01908 283800,
</v>
      </c>
    </row>
    <row r="81" spans="1:13" s="16" customFormat="1" ht="24.95" customHeight="1" x14ac:dyDescent="0.25">
      <c r="A81" s="16" t="s">
        <v>440</v>
      </c>
      <c r="B81" s="16" t="s">
        <v>441</v>
      </c>
      <c r="C81" s="15" t="s">
        <v>444</v>
      </c>
      <c r="D81" s="16">
        <v>1</v>
      </c>
      <c r="E81" s="15"/>
      <c r="F81" s="19" t="s">
        <v>448</v>
      </c>
      <c r="H81" s="19"/>
      <c r="I81" s="18">
        <v>19.86</v>
      </c>
      <c r="J81" s="18"/>
      <c r="K81" s="19"/>
      <c r="M81" s="106" t="str">
        <f>CONCATENATE(VLOOKUP(B81,'Supplier List'!$A$2:$D$44,2,FALSE))&amp; ","&amp; CHAR(10) &amp; (VLOOKUP(B81,'Supplier List'!$A$2:$D$44,3,FALSE)) &amp; ","&amp;CHAR(10) &amp;(VLOOKUP(B81,'Supplier List'!$A$2:$D$44,4,FALSE))</f>
        <v xml:space="preserve">Wildmere Industrial Estate, Banbury, Oxfordshire, OX16 3JU,
01295 228288,
</v>
      </c>
    </row>
    <row r="82" spans="1:13" s="16" customFormat="1" ht="24.95" customHeight="1" x14ac:dyDescent="0.25">
      <c r="A82" s="14" t="s">
        <v>445</v>
      </c>
      <c r="B82" s="16" t="s">
        <v>441</v>
      </c>
      <c r="C82" s="15" t="s">
        <v>446</v>
      </c>
      <c r="D82" s="16">
        <v>1</v>
      </c>
      <c r="E82" s="15"/>
      <c r="F82" s="19" t="s">
        <v>447</v>
      </c>
      <c r="H82" s="19"/>
      <c r="I82" s="18">
        <v>148.24</v>
      </c>
      <c r="J82" s="18"/>
      <c r="K82" s="19"/>
      <c r="M82" s="106" t="str">
        <f>CONCATENATE(VLOOKUP(B82,'Supplier List'!$A$2:$D$44,2,FALSE))&amp; ","&amp; CHAR(10) &amp; (VLOOKUP(B82,'Supplier List'!$A$2:$D$44,3,FALSE)) &amp; ","&amp;CHAR(10) &amp;(VLOOKUP(B82,'Supplier List'!$A$2:$D$44,4,FALSE))</f>
        <v xml:space="preserve">Wildmere Industrial Estate, Banbury, Oxfordshire, OX16 3JU,
01295 228288,
</v>
      </c>
    </row>
    <row r="83" spans="1:13" s="16" customFormat="1" ht="24.95" customHeight="1" x14ac:dyDescent="0.25">
      <c r="A83" s="13"/>
      <c r="C83" s="15"/>
      <c r="E83" s="15"/>
      <c r="F83" s="19"/>
      <c r="H83" s="19"/>
      <c r="I83" s="18"/>
      <c r="J83" s="18"/>
      <c r="K83" s="19"/>
      <c r="M83" s="106" t="e">
        <f>CONCATENATE(VLOOKUP(B83,'Supplier List'!$A$2:$D$44,2,FALSE))&amp; ","&amp; CHAR(10) &amp; (VLOOKUP(B83,'Supplier List'!$A$2:$D$44,3,FALSE)) &amp; ","&amp;CHAR(10) &amp;(VLOOKUP(B83,'Supplier List'!$A$2:$D$44,4,FALSE))</f>
        <v>#N/A</v>
      </c>
    </row>
    <row r="84" spans="1:13" s="16" customFormat="1" ht="24.95" customHeight="1" x14ac:dyDescent="0.25">
      <c r="A84" s="13"/>
      <c r="C84" s="15"/>
      <c r="E84" s="15"/>
      <c r="F84" s="19"/>
      <c r="H84" s="19"/>
      <c r="I84" s="18"/>
      <c r="J84" s="18"/>
      <c r="K84" s="19"/>
      <c r="M84" s="106" t="e">
        <f>CONCATENATE(VLOOKUP(B84,'Supplier List'!$A$2:$D$44,2,FALSE))&amp; ","&amp; CHAR(10) &amp; (VLOOKUP(B84,'Supplier List'!$A$2:$D$44,3,FALSE)) &amp; ","&amp;CHAR(10) &amp;(VLOOKUP(B84,'Supplier List'!$A$2:$D$44,4,FALSE))</f>
        <v>#N/A</v>
      </c>
    </row>
    <row r="85" spans="1:13" s="16" customFormat="1" ht="24.95" customHeight="1" x14ac:dyDescent="0.25">
      <c r="A85" s="13"/>
      <c r="C85" s="15"/>
      <c r="E85" s="15"/>
      <c r="F85" s="19"/>
      <c r="H85" s="19"/>
      <c r="I85" s="18"/>
      <c r="J85" s="18"/>
      <c r="K85" s="19"/>
      <c r="M85" s="106" t="e">
        <f>CONCATENATE(VLOOKUP(B85,'Supplier List'!$A$2:$D$44,2,FALSE))&amp; ","&amp; CHAR(10) &amp; (VLOOKUP(B85,'Supplier List'!$A$2:$D$44,3,FALSE)) &amp; ","&amp;CHAR(10) &amp;(VLOOKUP(B85,'Supplier List'!$A$2:$D$44,4,FALSE))</f>
        <v>#N/A</v>
      </c>
    </row>
    <row r="86" spans="1:13" s="16" customFormat="1" ht="24.95" customHeight="1" x14ac:dyDescent="0.25">
      <c r="A86" s="13"/>
      <c r="C86" s="15"/>
      <c r="E86" s="15"/>
      <c r="F86" s="19"/>
      <c r="H86" s="19"/>
      <c r="I86" s="18"/>
      <c r="J86" s="18"/>
      <c r="K86" s="19"/>
      <c r="M86" s="106" t="e">
        <f>CONCATENATE(VLOOKUP(B86,'Supplier List'!$A$2:$D$44,2,FALSE))&amp; ","&amp; CHAR(10) &amp; (VLOOKUP(B86,'Supplier List'!$A$2:$D$44,3,FALSE)) &amp; ","&amp;CHAR(10) &amp;(VLOOKUP(B86,'Supplier List'!$A$2:$D$44,4,FALSE))</f>
        <v>#N/A</v>
      </c>
    </row>
    <row r="87" spans="1:13" s="16" customFormat="1" ht="24.95" customHeight="1" x14ac:dyDescent="0.25">
      <c r="A87" s="13"/>
      <c r="C87" s="15"/>
      <c r="E87" s="15"/>
      <c r="F87" s="19"/>
      <c r="H87" s="19"/>
      <c r="I87" s="18"/>
      <c r="J87" s="18"/>
      <c r="K87" s="19"/>
      <c r="M87" s="106" t="e">
        <f>CONCATENATE(VLOOKUP(B87,'Supplier List'!$A$2:$D$44,2,FALSE))&amp; ","&amp; CHAR(10) &amp; (VLOOKUP(B87,'Supplier List'!$A$2:$D$44,3,FALSE)) &amp; ","&amp;CHAR(10) &amp;(VLOOKUP(B87,'Supplier List'!$A$2:$D$44,4,FALSE))</f>
        <v>#N/A</v>
      </c>
    </row>
    <row r="88" spans="1:13" s="16" customFormat="1" ht="24.95" customHeight="1" x14ac:dyDescent="0.25">
      <c r="A88" s="13"/>
      <c r="C88" s="15"/>
      <c r="E88" s="15"/>
      <c r="F88" s="19"/>
      <c r="H88" s="19"/>
      <c r="I88" s="18"/>
      <c r="J88" s="18"/>
      <c r="K88" s="19"/>
      <c r="M88" s="106" t="e">
        <f>CONCATENATE(VLOOKUP(B88,'Supplier List'!$A$2:$D$44,2,FALSE))&amp; ","&amp; CHAR(10) &amp; (VLOOKUP(B88,'Supplier List'!$A$2:$D$44,3,FALSE)) &amp; ","&amp;CHAR(10) &amp;(VLOOKUP(B88,'Supplier List'!$A$2:$D$44,4,FALSE))</f>
        <v>#N/A</v>
      </c>
    </row>
    <row r="89" spans="1:13" s="16" customFormat="1" ht="24.95" customHeight="1" x14ac:dyDescent="0.25">
      <c r="A89" s="13"/>
      <c r="C89" s="15"/>
      <c r="E89" s="15"/>
      <c r="F89" s="19"/>
      <c r="H89" s="19"/>
      <c r="I89" s="18"/>
      <c r="J89" s="18"/>
      <c r="K89" s="19"/>
      <c r="M89" s="19"/>
    </row>
    <row r="90" spans="1:13" s="16" customFormat="1" ht="24.95" customHeight="1" x14ac:dyDescent="0.25">
      <c r="A90" s="13"/>
      <c r="C90" s="15"/>
      <c r="E90" s="15"/>
      <c r="F90" s="19"/>
      <c r="H90" s="19"/>
      <c r="I90" s="18"/>
      <c r="J90" s="18"/>
      <c r="K90" s="19"/>
      <c r="M90" s="19"/>
    </row>
    <row r="91" spans="1:13" s="16" customFormat="1" ht="24.95" customHeight="1" x14ac:dyDescent="0.25">
      <c r="A91" s="13"/>
      <c r="C91" s="15"/>
      <c r="E91" s="15"/>
      <c r="F91" s="19"/>
      <c r="H91" s="19"/>
      <c r="I91" s="18"/>
      <c r="J91" s="18"/>
      <c r="K91" s="19"/>
      <c r="M91" s="19"/>
    </row>
    <row r="92" spans="1:13" s="16" customFormat="1" ht="24.95" customHeight="1" x14ac:dyDescent="0.25">
      <c r="A92" s="13"/>
      <c r="C92" s="15"/>
      <c r="E92" s="15"/>
      <c r="F92" s="19"/>
      <c r="H92" s="19"/>
      <c r="I92" s="18"/>
      <c r="J92" s="18"/>
      <c r="K92" s="19"/>
      <c r="M92" s="19"/>
    </row>
    <row r="93" spans="1:13" s="16" customFormat="1" ht="24.95" customHeight="1" x14ac:dyDescent="0.25">
      <c r="A93" s="13"/>
      <c r="C93" s="15"/>
      <c r="E93" s="15"/>
      <c r="F93" s="19"/>
      <c r="H93" s="19"/>
      <c r="I93" s="18"/>
      <c r="J93" s="18"/>
      <c r="K93" s="19"/>
      <c r="M93" s="19"/>
    </row>
    <row r="94" spans="1:13" s="16" customFormat="1" ht="24.95" customHeight="1" x14ac:dyDescent="0.25">
      <c r="A94" s="13"/>
      <c r="C94" s="15"/>
      <c r="E94" s="15"/>
      <c r="F94" s="19"/>
      <c r="H94" s="19"/>
      <c r="I94" s="18"/>
      <c r="J94" s="18"/>
      <c r="K94" s="19"/>
      <c r="M94" s="19"/>
    </row>
    <row r="95" spans="1:13" s="16" customFormat="1" ht="24.95" customHeight="1" x14ac:dyDescent="0.25">
      <c r="A95" s="13"/>
      <c r="C95" s="15"/>
      <c r="E95" s="15"/>
      <c r="F95" s="19"/>
      <c r="H95" s="19"/>
      <c r="I95" s="18"/>
      <c r="J95" s="18"/>
      <c r="K95" s="19"/>
      <c r="M95" s="19"/>
    </row>
    <row r="96" spans="1:13" s="16" customFormat="1" ht="24.95" customHeight="1" x14ac:dyDescent="0.25">
      <c r="A96" s="13"/>
      <c r="C96" s="15"/>
      <c r="E96" s="15"/>
      <c r="F96" s="19"/>
      <c r="H96" s="19"/>
      <c r="I96" s="18"/>
      <c r="J96" s="18"/>
      <c r="K96" s="19"/>
      <c r="M96" s="19"/>
    </row>
    <row r="97" spans="1:13" s="16" customFormat="1" ht="24.95" customHeight="1" x14ac:dyDescent="0.25">
      <c r="A97" s="13"/>
      <c r="C97" s="15"/>
      <c r="E97" s="15"/>
      <c r="F97" s="19"/>
      <c r="H97" s="19"/>
      <c r="I97" s="18"/>
      <c r="J97" s="18"/>
      <c r="K97" s="19"/>
      <c r="M97" s="19"/>
    </row>
    <row r="98" spans="1:13" s="16" customFormat="1" ht="24.95" customHeight="1" x14ac:dyDescent="0.25">
      <c r="A98" s="13"/>
      <c r="C98" s="15"/>
      <c r="E98" s="15"/>
      <c r="F98" s="19"/>
      <c r="H98" s="19"/>
      <c r="I98" s="18"/>
      <c r="J98" s="18"/>
      <c r="K98" s="19"/>
      <c r="M98" s="19"/>
    </row>
    <row r="99" spans="1:13" s="16" customFormat="1" ht="24.95" customHeight="1" x14ac:dyDescent="0.25">
      <c r="A99" s="13"/>
      <c r="C99" s="15"/>
      <c r="E99" s="15"/>
      <c r="F99" s="19"/>
      <c r="H99" s="19"/>
      <c r="I99" s="18"/>
      <c r="J99" s="18"/>
      <c r="K99" s="19"/>
      <c r="M99" s="19"/>
    </row>
    <row r="100" spans="1:13" s="16" customFormat="1" ht="24.95" customHeight="1" x14ac:dyDescent="0.25">
      <c r="A100" s="13"/>
      <c r="C100" s="15"/>
      <c r="E100" s="15"/>
      <c r="F100" s="19"/>
      <c r="H100" s="19"/>
      <c r="I100" s="18"/>
      <c r="J100" s="18"/>
      <c r="K100" s="19"/>
      <c r="M100" s="19"/>
    </row>
    <row r="101" spans="1:13" s="16" customFormat="1" ht="24.95" customHeight="1" x14ac:dyDescent="0.25">
      <c r="A101" s="13"/>
      <c r="C101" s="15"/>
      <c r="E101" s="15"/>
      <c r="F101" s="19"/>
      <c r="H101" s="19"/>
      <c r="I101" s="18"/>
      <c r="J101" s="18"/>
      <c r="K101" s="19"/>
      <c r="M101" s="19"/>
    </row>
    <row r="102" spans="1:13" s="16" customFormat="1" ht="24.95" customHeight="1" x14ac:dyDescent="0.25">
      <c r="A102" s="13"/>
      <c r="C102" s="15"/>
      <c r="E102" s="15"/>
      <c r="F102" s="19"/>
      <c r="H102" s="19"/>
      <c r="I102" s="18"/>
      <c r="J102" s="18"/>
      <c r="K102" s="19"/>
      <c r="M102" s="19"/>
    </row>
    <row r="103" spans="1:13" s="16" customFormat="1" ht="24.95" customHeight="1" x14ac:dyDescent="0.25">
      <c r="A103" s="13"/>
      <c r="C103" s="15"/>
      <c r="E103" s="15"/>
      <c r="F103" s="19"/>
      <c r="H103" s="19"/>
      <c r="I103" s="18"/>
      <c r="J103" s="18"/>
      <c r="K103" s="19"/>
      <c r="M103" s="19"/>
    </row>
    <row r="104" spans="1:13" s="16" customFormat="1" ht="24.95" customHeight="1" x14ac:dyDescent="0.25">
      <c r="A104" s="13"/>
      <c r="C104" s="15"/>
      <c r="E104" s="15"/>
      <c r="F104" s="19"/>
      <c r="H104" s="19"/>
      <c r="I104" s="18"/>
      <c r="J104" s="18"/>
      <c r="K104" s="19"/>
      <c r="M104" s="19"/>
    </row>
    <row r="105" spans="1:13" s="16" customFormat="1" ht="24.95" customHeight="1" x14ac:dyDescent="0.25">
      <c r="A105" s="13"/>
      <c r="C105" s="15"/>
      <c r="E105" s="15"/>
      <c r="F105" s="19"/>
      <c r="H105" s="19"/>
      <c r="I105" s="18"/>
      <c r="J105" s="18"/>
      <c r="K105" s="19"/>
      <c r="M105" s="19"/>
    </row>
    <row r="106" spans="1:13" s="16" customFormat="1" ht="24.95" customHeight="1" x14ac:dyDescent="0.25">
      <c r="A106" s="13"/>
      <c r="C106" s="15"/>
      <c r="E106" s="15"/>
      <c r="F106" s="19"/>
      <c r="H106" s="19"/>
      <c r="I106" s="18"/>
      <c r="J106" s="18"/>
      <c r="K106" s="19"/>
      <c r="M106" s="19"/>
    </row>
    <row r="107" spans="1:13" s="16" customFormat="1" ht="24.95" customHeight="1" x14ac:dyDescent="0.25">
      <c r="A107" s="13"/>
      <c r="C107" s="15"/>
      <c r="E107" s="15"/>
      <c r="F107" s="19"/>
      <c r="H107" s="19"/>
      <c r="I107" s="18"/>
      <c r="J107" s="18"/>
      <c r="K107" s="19"/>
      <c r="M107" s="19"/>
    </row>
    <row r="108" spans="1:13" s="16" customFormat="1" ht="24.95" customHeight="1" x14ac:dyDescent="0.25">
      <c r="A108" s="13"/>
      <c r="C108" s="15"/>
      <c r="E108" s="15"/>
      <c r="F108" s="19"/>
      <c r="H108" s="19"/>
      <c r="I108" s="18"/>
      <c r="J108" s="18"/>
      <c r="K108" s="19"/>
      <c r="M108" s="19"/>
    </row>
    <row r="109" spans="1:13" s="16" customFormat="1" ht="24.95" customHeight="1" x14ac:dyDescent="0.25">
      <c r="A109" s="13"/>
      <c r="C109" s="15"/>
      <c r="E109" s="15"/>
      <c r="F109" s="19"/>
      <c r="H109" s="19"/>
      <c r="I109" s="18"/>
      <c r="J109" s="18"/>
      <c r="K109" s="19"/>
      <c r="M109" s="19"/>
    </row>
    <row r="110" spans="1:13" s="16" customFormat="1" ht="24.95" customHeight="1" x14ac:dyDescent="0.25">
      <c r="A110" s="13"/>
      <c r="C110" s="15"/>
      <c r="E110" s="15"/>
      <c r="F110" s="19"/>
      <c r="H110" s="19"/>
      <c r="I110" s="18"/>
      <c r="J110" s="18"/>
      <c r="K110" s="19"/>
      <c r="M110" s="19"/>
    </row>
    <row r="111" spans="1:13" s="16" customFormat="1" ht="24.95" customHeight="1" x14ac:dyDescent="0.25">
      <c r="A111" s="13"/>
      <c r="C111" s="15"/>
      <c r="E111" s="15"/>
      <c r="F111" s="19"/>
      <c r="H111" s="19"/>
      <c r="I111" s="18"/>
      <c r="J111" s="18"/>
      <c r="K111" s="19"/>
      <c r="M111" s="19"/>
    </row>
    <row r="112" spans="1:13" s="16" customFormat="1" ht="24.95" customHeight="1" x14ac:dyDescent="0.25">
      <c r="A112" s="13"/>
      <c r="C112" s="15"/>
      <c r="E112" s="15"/>
      <c r="F112" s="19"/>
      <c r="H112" s="19"/>
      <c r="I112" s="18"/>
      <c r="J112" s="18"/>
      <c r="K112" s="19"/>
      <c r="M112" s="19"/>
    </row>
    <row r="113" spans="1:13" s="16" customFormat="1" ht="24.95" customHeight="1" x14ac:dyDescent="0.25">
      <c r="A113" s="13"/>
      <c r="C113" s="15"/>
      <c r="E113" s="15"/>
      <c r="F113" s="19"/>
      <c r="H113" s="19"/>
      <c r="I113" s="18"/>
      <c r="J113" s="18"/>
      <c r="K113" s="19"/>
      <c r="M113" s="19"/>
    </row>
    <row r="114" spans="1:13" s="16" customFormat="1" ht="24.95" customHeight="1" x14ac:dyDescent="0.25">
      <c r="A114" s="13"/>
      <c r="C114" s="15"/>
      <c r="E114" s="15"/>
      <c r="F114" s="19"/>
      <c r="H114" s="19"/>
      <c r="I114" s="18"/>
      <c r="J114" s="18"/>
      <c r="K114" s="19"/>
      <c r="M114" s="19"/>
    </row>
    <row r="115" spans="1:13" s="16" customFormat="1" ht="24.95" customHeight="1" x14ac:dyDescent="0.25">
      <c r="A115" s="13"/>
      <c r="C115" s="15"/>
      <c r="E115" s="15"/>
      <c r="F115" s="19"/>
      <c r="H115" s="19"/>
      <c r="I115" s="18"/>
      <c r="J115" s="18"/>
      <c r="K115" s="19"/>
      <c r="M115" s="19"/>
    </row>
    <row r="116" spans="1:13" s="16" customFormat="1" ht="24.95" customHeight="1" x14ac:dyDescent="0.25">
      <c r="A116" s="13"/>
      <c r="C116" s="15"/>
      <c r="E116" s="15"/>
      <c r="F116" s="19"/>
      <c r="H116" s="19"/>
      <c r="I116" s="18"/>
      <c r="J116" s="18"/>
      <c r="K116" s="19"/>
      <c r="M116" s="19"/>
    </row>
    <row r="117" spans="1:13" s="16" customFormat="1" ht="24.95" customHeight="1" x14ac:dyDescent="0.25">
      <c r="A117" s="13"/>
      <c r="C117" s="15"/>
      <c r="E117" s="15"/>
      <c r="F117" s="19"/>
      <c r="H117" s="19"/>
      <c r="I117" s="18"/>
      <c r="J117" s="18"/>
      <c r="K117" s="19"/>
      <c r="M117" s="19"/>
    </row>
    <row r="118" spans="1:13" s="16" customFormat="1" ht="24.95" customHeight="1" x14ac:dyDescent="0.25">
      <c r="A118" s="13"/>
      <c r="C118" s="15"/>
      <c r="E118" s="15"/>
      <c r="F118" s="19"/>
      <c r="H118" s="19"/>
      <c r="I118" s="18"/>
      <c r="J118" s="18"/>
      <c r="K118" s="19"/>
      <c r="M118" s="19"/>
    </row>
    <row r="119" spans="1:13" s="16" customFormat="1" ht="24.95" customHeight="1" x14ac:dyDescent="0.25">
      <c r="A119" s="13"/>
      <c r="C119" s="15"/>
      <c r="E119" s="15"/>
      <c r="F119" s="19"/>
      <c r="H119" s="19"/>
      <c r="I119" s="18"/>
      <c r="J119" s="18"/>
      <c r="K119" s="19"/>
      <c r="M119" s="19"/>
    </row>
    <row r="120" spans="1:13" s="16" customFormat="1" ht="24.95" customHeight="1" x14ac:dyDescent="0.25">
      <c r="A120" s="13"/>
      <c r="C120" s="15"/>
      <c r="E120" s="15"/>
      <c r="F120" s="19"/>
      <c r="H120" s="19"/>
      <c r="I120" s="18"/>
      <c r="J120" s="18"/>
      <c r="K120" s="19"/>
      <c r="M120" s="19"/>
    </row>
    <row r="121" spans="1:13" s="16" customFormat="1" ht="24.95" customHeight="1" x14ac:dyDescent="0.25">
      <c r="A121" s="13"/>
      <c r="C121" s="15"/>
      <c r="E121" s="15"/>
      <c r="F121" s="19"/>
      <c r="H121" s="19"/>
      <c r="I121" s="18"/>
      <c r="J121" s="18"/>
      <c r="K121" s="19"/>
      <c r="M121" s="19"/>
    </row>
    <row r="122" spans="1:13" s="16" customFormat="1" ht="24.95" customHeight="1" x14ac:dyDescent="0.25">
      <c r="A122" s="13"/>
      <c r="C122" s="15"/>
      <c r="E122" s="15"/>
      <c r="F122" s="19"/>
      <c r="H122" s="19"/>
      <c r="I122" s="18"/>
      <c r="J122" s="18"/>
      <c r="K122" s="19"/>
      <c r="M122" s="19"/>
    </row>
    <row r="123" spans="1:13" s="16" customFormat="1" ht="24.95" customHeight="1" x14ac:dyDescent="0.25">
      <c r="A123" s="13"/>
      <c r="C123" s="15"/>
      <c r="E123" s="15"/>
      <c r="F123" s="19"/>
      <c r="H123" s="19"/>
      <c r="I123" s="18"/>
      <c r="J123" s="18"/>
      <c r="K123" s="19"/>
      <c r="M123" s="19"/>
    </row>
    <row r="124" spans="1:13" s="16" customFormat="1" ht="24.95" customHeight="1" x14ac:dyDescent="0.25">
      <c r="A124" s="13"/>
      <c r="C124" s="15"/>
      <c r="E124" s="15"/>
      <c r="F124" s="19"/>
      <c r="H124" s="19"/>
      <c r="I124" s="18"/>
      <c r="J124" s="18"/>
      <c r="K124" s="19"/>
      <c r="M124" s="19"/>
    </row>
    <row r="125" spans="1:13" s="16" customFormat="1" ht="24.95" customHeight="1" x14ac:dyDescent="0.25">
      <c r="A125" s="13"/>
      <c r="C125" s="15"/>
      <c r="E125" s="15"/>
      <c r="F125" s="19"/>
      <c r="H125" s="19"/>
      <c r="I125" s="18"/>
      <c r="J125" s="18"/>
      <c r="K125" s="19"/>
      <c r="M125" s="19"/>
    </row>
    <row r="126" spans="1:13" s="16" customFormat="1" ht="24.95" customHeight="1" x14ac:dyDescent="0.25">
      <c r="A126" s="13"/>
      <c r="C126" s="15"/>
      <c r="E126" s="15"/>
      <c r="F126" s="19"/>
      <c r="H126" s="19"/>
      <c r="I126" s="18"/>
      <c r="J126" s="18"/>
      <c r="K126" s="19"/>
      <c r="M126" s="19"/>
    </row>
    <row r="127" spans="1:13" s="16" customFormat="1" ht="24.95" customHeight="1" x14ac:dyDescent="0.25">
      <c r="A127" s="13"/>
      <c r="C127" s="15"/>
      <c r="E127" s="15"/>
      <c r="F127" s="19"/>
      <c r="H127" s="19"/>
      <c r="I127" s="18"/>
      <c r="J127" s="18"/>
      <c r="K127" s="19"/>
      <c r="M127" s="19"/>
    </row>
    <row r="128" spans="1:13" s="16" customFormat="1" ht="24.95" customHeight="1" x14ac:dyDescent="0.25">
      <c r="A128" s="13"/>
      <c r="C128" s="15"/>
      <c r="E128" s="15"/>
      <c r="F128" s="19"/>
      <c r="H128" s="19"/>
      <c r="I128" s="18"/>
      <c r="J128" s="18"/>
      <c r="K128" s="19"/>
      <c r="M128" s="19"/>
    </row>
    <row r="129" spans="1:13" s="16" customFormat="1" ht="24.95" customHeight="1" x14ac:dyDescent="0.25">
      <c r="A129" s="13"/>
      <c r="C129" s="15"/>
      <c r="E129" s="15"/>
      <c r="F129" s="19"/>
      <c r="H129" s="19"/>
      <c r="I129" s="18"/>
      <c r="J129" s="18"/>
      <c r="K129" s="19"/>
      <c r="M129" s="19"/>
    </row>
    <row r="130" spans="1:13" s="16" customFormat="1" ht="24.95" customHeight="1" x14ac:dyDescent="0.25">
      <c r="A130" s="13"/>
      <c r="C130" s="15"/>
      <c r="E130" s="15"/>
      <c r="F130" s="19"/>
      <c r="H130" s="19"/>
      <c r="I130" s="18"/>
      <c r="J130" s="18"/>
      <c r="K130" s="19"/>
      <c r="M130" s="19"/>
    </row>
    <row r="131" spans="1:13" s="16" customFormat="1" ht="24.95" customHeight="1" x14ac:dyDescent="0.25">
      <c r="A131" s="13"/>
      <c r="C131" s="15"/>
      <c r="E131" s="15"/>
      <c r="F131" s="19"/>
      <c r="H131" s="19"/>
      <c r="I131" s="18"/>
      <c r="J131" s="18"/>
      <c r="K131" s="19"/>
      <c r="M131" s="19"/>
    </row>
    <row r="132" spans="1:13" s="16" customFormat="1" ht="24.95" customHeight="1" x14ac:dyDescent="0.25">
      <c r="A132" s="13"/>
      <c r="C132" s="15"/>
      <c r="E132" s="15"/>
      <c r="F132" s="19"/>
      <c r="H132" s="19"/>
      <c r="I132" s="18"/>
      <c r="J132" s="18"/>
      <c r="K132" s="19"/>
      <c r="M132" s="19"/>
    </row>
    <row r="133" spans="1:13" s="16" customFormat="1" ht="24.95" customHeight="1" x14ac:dyDescent="0.25">
      <c r="A133" s="13"/>
      <c r="C133" s="15"/>
      <c r="E133" s="15"/>
      <c r="F133" s="19"/>
      <c r="H133" s="19"/>
      <c r="I133" s="18"/>
      <c r="J133" s="18"/>
      <c r="K133" s="19"/>
      <c r="M133" s="19"/>
    </row>
    <row r="134" spans="1:13" s="16" customFormat="1" ht="24.95" customHeight="1" x14ac:dyDescent="0.25">
      <c r="A134" s="13"/>
      <c r="C134" s="15"/>
      <c r="E134" s="15"/>
      <c r="F134" s="19"/>
      <c r="H134" s="19"/>
      <c r="I134" s="18"/>
      <c r="J134" s="18"/>
      <c r="K134" s="19"/>
      <c r="M134" s="19"/>
    </row>
    <row r="135" spans="1:13" s="16" customFormat="1" ht="24.95" customHeight="1" x14ac:dyDescent="0.25">
      <c r="A135" s="13"/>
      <c r="C135" s="15"/>
      <c r="E135" s="15"/>
      <c r="F135" s="19"/>
      <c r="H135" s="19"/>
      <c r="I135" s="18"/>
      <c r="J135" s="18"/>
      <c r="K135" s="19"/>
      <c r="M135" s="19"/>
    </row>
    <row r="136" spans="1:13" s="16" customFormat="1" ht="24.95" customHeight="1" x14ac:dyDescent="0.25">
      <c r="A136" s="13"/>
      <c r="C136" s="15"/>
      <c r="E136" s="15"/>
      <c r="F136" s="19"/>
      <c r="H136" s="19"/>
      <c r="I136" s="18"/>
      <c r="J136" s="18"/>
      <c r="K136" s="19"/>
      <c r="M136" s="19"/>
    </row>
    <row r="137" spans="1:13" s="16" customFormat="1" ht="24.95" customHeight="1" x14ac:dyDescent="0.25">
      <c r="A137" s="13"/>
      <c r="C137" s="15"/>
      <c r="E137" s="15"/>
      <c r="F137" s="19"/>
      <c r="H137" s="19"/>
      <c r="I137" s="18"/>
      <c r="J137" s="18"/>
      <c r="K137" s="19"/>
      <c r="M137" s="19"/>
    </row>
    <row r="138" spans="1:13" s="16" customFormat="1" ht="24.95" customHeight="1" x14ac:dyDescent="0.25">
      <c r="A138" s="13"/>
      <c r="C138" s="15"/>
      <c r="E138" s="15"/>
      <c r="F138" s="19"/>
      <c r="H138" s="19"/>
      <c r="I138" s="18"/>
      <c r="J138" s="18"/>
      <c r="K138" s="19"/>
      <c r="M138" s="19"/>
    </row>
    <row r="139" spans="1:13" s="16" customFormat="1" ht="24.95" customHeight="1" x14ac:dyDescent="0.25">
      <c r="A139" s="13"/>
      <c r="C139" s="15"/>
      <c r="E139" s="15"/>
      <c r="F139" s="19"/>
      <c r="H139" s="19"/>
      <c r="I139" s="18"/>
      <c r="J139" s="18"/>
      <c r="K139" s="19"/>
      <c r="M139" s="19"/>
    </row>
    <row r="140" spans="1:13" s="16" customFormat="1" ht="24.95" customHeight="1" x14ac:dyDescent="0.25">
      <c r="A140" s="13"/>
      <c r="C140" s="15"/>
      <c r="E140" s="15"/>
      <c r="F140" s="19"/>
      <c r="H140" s="19"/>
      <c r="I140" s="18"/>
      <c r="J140" s="18"/>
      <c r="K140" s="19"/>
      <c r="M140" s="19"/>
    </row>
    <row r="141" spans="1:13" s="16" customFormat="1" ht="24.95" customHeight="1" x14ac:dyDescent="0.25">
      <c r="A141" s="13"/>
      <c r="C141" s="15"/>
      <c r="E141" s="15"/>
      <c r="F141" s="19"/>
      <c r="H141" s="19"/>
      <c r="I141" s="18"/>
      <c r="J141" s="18"/>
      <c r="K141" s="19"/>
      <c r="M141" s="19"/>
    </row>
    <row r="142" spans="1:13" s="16" customFormat="1" ht="24.95" customHeight="1" x14ac:dyDescent="0.25">
      <c r="A142" s="13"/>
      <c r="C142" s="15"/>
      <c r="E142" s="15"/>
      <c r="F142" s="19"/>
      <c r="H142" s="19"/>
      <c r="I142" s="18"/>
      <c r="J142" s="18"/>
      <c r="K142" s="19"/>
      <c r="M142" s="19"/>
    </row>
    <row r="143" spans="1:13" s="16" customFormat="1" ht="24.95" customHeight="1" x14ac:dyDescent="0.25">
      <c r="A143" s="13"/>
      <c r="C143" s="15"/>
      <c r="E143" s="15"/>
      <c r="F143" s="19"/>
      <c r="H143" s="19"/>
      <c r="I143" s="18"/>
      <c r="J143" s="18"/>
      <c r="K143" s="19"/>
      <c r="M143" s="19"/>
    </row>
    <row r="144" spans="1:13" s="16" customFormat="1" ht="24.95" customHeight="1" x14ac:dyDescent="0.25">
      <c r="A144" s="13"/>
      <c r="C144" s="15"/>
      <c r="E144" s="15"/>
      <c r="F144" s="19"/>
      <c r="H144" s="19"/>
      <c r="I144" s="18"/>
      <c r="J144" s="18"/>
      <c r="K144" s="19"/>
      <c r="M144" s="19"/>
    </row>
    <row r="145" spans="1:13" s="16" customFormat="1" ht="24.95" customHeight="1" x14ac:dyDescent="0.25">
      <c r="A145" s="13"/>
      <c r="C145" s="15"/>
      <c r="E145" s="15"/>
      <c r="F145" s="19"/>
      <c r="H145" s="19"/>
      <c r="I145" s="18"/>
      <c r="J145" s="18"/>
      <c r="K145" s="19"/>
      <c r="M145" s="19"/>
    </row>
    <row r="146" spans="1:13" s="16" customFormat="1" ht="24.95" customHeight="1" x14ac:dyDescent="0.25">
      <c r="A146" s="13"/>
      <c r="C146" s="15"/>
      <c r="E146" s="15"/>
      <c r="F146" s="19"/>
      <c r="H146" s="19"/>
      <c r="I146" s="18"/>
      <c r="J146" s="18"/>
      <c r="K146" s="19"/>
      <c r="M146" s="19"/>
    </row>
    <row r="147" spans="1:13" s="16" customFormat="1" ht="24.95" customHeight="1" x14ac:dyDescent="0.25">
      <c r="A147" s="13"/>
      <c r="C147" s="15"/>
      <c r="E147" s="15"/>
      <c r="F147" s="19"/>
      <c r="H147" s="19"/>
      <c r="I147" s="18"/>
      <c r="J147" s="18"/>
      <c r="K147" s="19"/>
      <c r="M147" s="19"/>
    </row>
    <row r="148" spans="1:13" s="16" customFormat="1" ht="24.95" customHeight="1" x14ac:dyDescent="0.25">
      <c r="A148" s="13"/>
      <c r="C148" s="15"/>
      <c r="E148" s="15"/>
      <c r="F148" s="19"/>
      <c r="H148" s="19"/>
      <c r="I148" s="18"/>
      <c r="J148" s="18"/>
      <c r="K148" s="19"/>
      <c r="M148" s="19"/>
    </row>
    <row r="149" spans="1:13" s="16" customFormat="1" ht="24.95" customHeight="1" x14ac:dyDescent="0.25">
      <c r="A149" s="13"/>
      <c r="C149" s="15"/>
      <c r="E149" s="15"/>
      <c r="F149" s="19"/>
      <c r="H149" s="19"/>
      <c r="I149" s="18"/>
      <c r="J149" s="18"/>
      <c r="K149" s="19"/>
      <c r="M149" s="19"/>
    </row>
    <row r="150" spans="1:13" s="16" customFormat="1" ht="24.95" customHeight="1" x14ac:dyDescent="0.25">
      <c r="A150" s="13"/>
      <c r="C150" s="15"/>
      <c r="E150" s="15"/>
      <c r="F150" s="19"/>
      <c r="H150" s="19"/>
      <c r="I150" s="18"/>
      <c r="J150" s="18"/>
      <c r="K150" s="19"/>
      <c r="M150" s="19"/>
    </row>
    <row r="151" spans="1:13" s="16" customFormat="1" ht="24.95" customHeight="1" x14ac:dyDescent="0.25">
      <c r="A151" s="13"/>
      <c r="C151" s="15"/>
      <c r="E151" s="15"/>
      <c r="F151" s="19"/>
      <c r="H151" s="19"/>
      <c r="I151" s="18"/>
      <c r="J151" s="18"/>
      <c r="K151" s="19"/>
      <c r="M151" s="19"/>
    </row>
    <row r="152" spans="1:13" s="16" customFormat="1" ht="24.95" customHeight="1" x14ac:dyDescent="0.25">
      <c r="A152" s="13"/>
      <c r="C152" s="15"/>
      <c r="E152" s="15"/>
      <c r="F152" s="19"/>
      <c r="H152" s="19"/>
      <c r="I152" s="18"/>
      <c r="J152" s="18"/>
      <c r="K152" s="19"/>
      <c r="M152" s="19"/>
    </row>
    <row r="153" spans="1:13" s="16" customFormat="1" ht="24.95" customHeight="1" x14ac:dyDescent="0.25">
      <c r="A153" s="13"/>
      <c r="C153" s="15"/>
      <c r="E153" s="15"/>
      <c r="F153" s="19"/>
      <c r="H153" s="19"/>
      <c r="I153" s="18"/>
      <c r="J153" s="18"/>
      <c r="K153" s="19"/>
      <c r="M153" s="19"/>
    </row>
    <row r="154" spans="1:13" s="16" customFormat="1" ht="24.95" customHeight="1" x14ac:dyDescent="0.25">
      <c r="A154" s="13"/>
      <c r="C154" s="15"/>
      <c r="E154" s="15"/>
      <c r="F154" s="19"/>
      <c r="H154" s="19"/>
      <c r="I154" s="18"/>
      <c r="J154" s="18"/>
      <c r="K154" s="19"/>
      <c r="M154" s="19"/>
    </row>
    <row r="155" spans="1:13" s="16" customFormat="1" ht="24.95" customHeight="1" x14ac:dyDescent="0.25">
      <c r="A155" s="13"/>
      <c r="C155" s="15"/>
      <c r="E155" s="15"/>
      <c r="F155" s="19"/>
      <c r="H155" s="19"/>
      <c r="I155" s="18"/>
      <c r="J155" s="18"/>
      <c r="K155" s="19"/>
      <c r="M155" s="19"/>
    </row>
    <row r="156" spans="1:13" s="16" customFormat="1" ht="24.95" customHeight="1" x14ac:dyDescent="0.25">
      <c r="A156" s="13"/>
      <c r="C156" s="15"/>
      <c r="E156" s="15"/>
      <c r="F156" s="19"/>
      <c r="H156" s="19"/>
      <c r="I156" s="18"/>
      <c r="J156" s="18"/>
      <c r="K156" s="19"/>
      <c r="M156" s="19"/>
    </row>
    <row r="157" spans="1:13" s="16" customFormat="1" ht="24.95" customHeight="1" x14ac:dyDescent="0.25">
      <c r="A157" s="13"/>
      <c r="C157" s="15"/>
      <c r="E157" s="15"/>
      <c r="F157" s="19"/>
      <c r="H157" s="19"/>
      <c r="I157" s="18"/>
      <c r="J157" s="18"/>
      <c r="K157" s="19"/>
      <c r="M157" s="19"/>
    </row>
    <row r="158" spans="1:13" s="16" customFormat="1" ht="24.95" customHeight="1" x14ac:dyDescent="0.25">
      <c r="A158" s="13"/>
      <c r="C158" s="15"/>
      <c r="E158" s="15"/>
      <c r="F158" s="19"/>
      <c r="H158" s="19"/>
      <c r="I158" s="18"/>
      <c r="J158" s="18"/>
      <c r="K158" s="19"/>
      <c r="M158" s="19"/>
    </row>
    <row r="159" spans="1:13" s="16" customFormat="1" ht="24.95" customHeight="1" x14ac:dyDescent="0.25">
      <c r="A159" s="13"/>
      <c r="C159" s="15"/>
      <c r="E159" s="15"/>
      <c r="F159" s="19"/>
      <c r="H159" s="19"/>
      <c r="I159" s="18"/>
      <c r="J159" s="18"/>
      <c r="K159" s="19"/>
      <c r="M159" s="19"/>
    </row>
    <row r="160" spans="1:13" s="16" customFormat="1" ht="24.95" customHeight="1" x14ac:dyDescent="0.25">
      <c r="A160" s="13"/>
      <c r="C160" s="15"/>
      <c r="E160" s="15"/>
      <c r="F160" s="19"/>
      <c r="H160" s="19"/>
      <c r="I160" s="18"/>
      <c r="J160" s="18"/>
      <c r="K160" s="19"/>
      <c r="M160" s="19"/>
    </row>
    <row r="161" spans="1:13" s="16" customFormat="1" ht="24.95" customHeight="1" x14ac:dyDescent="0.25">
      <c r="A161" s="13"/>
      <c r="C161" s="15"/>
      <c r="E161" s="15"/>
      <c r="F161" s="19"/>
      <c r="H161" s="19"/>
      <c r="I161" s="18"/>
      <c r="J161" s="18"/>
      <c r="K161" s="19"/>
      <c r="M161" s="19"/>
    </row>
    <row r="162" spans="1:13" s="16" customFormat="1" ht="24.95" customHeight="1" x14ac:dyDescent="0.25">
      <c r="A162" s="13"/>
      <c r="C162" s="15"/>
      <c r="E162" s="15"/>
      <c r="F162" s="19"/>
      <c r="H162" s="19"/>
      <c r="I162" s="18"/>
      <c r="J162" s="18"/>
      <c r="K162" s="19"/>
      <c r="M162" s="19"/>
    </row>
    <row r="163" spans="1:13" s="16" customFormat="1" ht="24.95" customHeight="1" x14ac:dyDescent="0.25">
      <c r="A163" s="13"/>
      <c r="C163" s="15"/>
      <c r="E163" s="15"/>
      <c r="F163" s="19"/>
      <c r="H163" s="19"/>
      <c r="I163" s="18"/>
      <c r="J163" s="18"/>
      <c r="K163" s="19"/>
      <c r="M163" s="19"/>
    </row>
    <row r="164" spans="1:13" s="16" customFormat="1" ht="24.95" customHeight="1" x14ac:dyDescent="0.25">
      <c r="A164" s="13"/>
      <c r="C164" s="15"/>
      <c r="E164" s="15"/>
      <c r="F164" s="19"/>
      <c r="H164" s="19"/>
      <c r="I164" s="18"/>
      <c r="J164" s="18"/>
      <c r="K164" s="19"/>
      <c r="M164" s="19"/>
    </row>
    <row r="165" spans="1:13" s="16" customFormat="1" ht="24.95" customHeight="1" x14ac:dyDescent="0.25">
      <c r="A165" s="13"/>
      <c r="C165" s="15"/>
      <c r="E165" s="15"/>
      <c r="F165" s="19"/>
      <c r="H165" s="19"/>
      <c r="I165" s="18"/>
      <c r="J165" s="18"/>
      <c r="K165" s="19"/>
      <c r="M165" s="19"/>
    </row>
    <row r="166" spans="1:13" s="16" customFormat="1" ht="24.95" customHeight="1" x14ac:dyDescent="0.25">
      <c r="A166" s="13"/>
      <c r="C166" s="15"/>
      <c r="E166" s="15"/>
      <c r="F166" s="19"/>
      <c r="H166" s="19"/>
      <c r="I166" s="18"/>
      <c r="J166" s="18"/>
      <c r="K166" s="19"/>
      <c r="M166" s="19"/>
    </row>
    <row r="167" spans="1:13" s="16" customFormat="1" ht="24.95" customHeight="1" x14ac:dyDescent="0.25">
      <c r="A167" s="13"/>
      <c r="C167" s="15"/>
      <c r="E167" s="15"/>
      <c r="F167" s="19"/>
      <c r="H167" s="19"/>
      <c r="I167" s="18"/>
      <c r="J167" s="18"/>
      <c r="K167" s="19"/>
      <c r="M167" s="19"/>
    </row>
    <row r="168" spans="1:13" s="16" customFormat="1" ht="24.95" customHeight="1" x14ac:dyDescent="0.25">
      <c r="A168" s="13"/>
      <c r="C168" s="15"/>
      <c r="E168" s="15"/>
      <c r="F168" s="19"/>
      <c r="H168" s="19"/>
      <c r="I168" s="18"/>
      <c r="J168" s="18"/>
      <c r="K168" s="19"/>
      <c r="M168" s="19"/>
    </row>
    <row r="169" spans="1:13" s="16" customFormat="1" ht="24.95" customHeight="1" x14ac:dyDescent="0.25">
      <c r="A169" s="13"/>
      <c r="C169" s="15"/>
      <c r="E169" s="15"/>
      <c r="F169" s="19"/>
      <c r="H169" s="19"/>
      <c r="I169" s="18"/>
      <c r="J169" s="18"/>
      <c r="K169" s="19"/>
      <c r="M169" s="19"/>
    </row>
    <row r="170" spans="1:13" s="16" customFormat="1" ht="24.95" customHeight="1" x14ac:dyDescent="0.25">
      <c r="A170" s="13"/>
      <c r="C170" s="15"/>
      <c r="E170" s="15"/>
      <c r="F170" s="19"/>
      <c r="H170" s="19"/>
      <c r="I170" s="18"/>
      <c r="J170" s="18"/>
      <c r="K170" s="19"/>
      <c r="M170" s="19"/>
    </row>
    <row r="171" spans="1:13" s="16" customFormat="1" ht="24.95" customHeight="1" x14ac:dyDescent="0.25">
      <c r="A171" s="13"/>
      <c r="C171" s="15"/>
      <c r="E171" s="15"/>
      <c r="F171" s="19"/>
      <c r="H171" s="19"/>
      <c r="I171" s="18"/>
      <c r="J171" s="18"/>
      <c r="K171" s="19"/>
      <c r="M171" s="19"/>
    </row>
    <row r="172" spans="1:13" s="16" customFormat="1" ht="24.95" customHeight="1" x14ac:dyDescent="0.25">
      <c r="A172" s="13"/>
      <c r="C172" s="15"/>
      <c r="E172" s="15"/>
      <c r="F172" s="19"/>
      <c r="H172" s="19"/>
      <c r="I172" s="18"/>
      <c r="J172" s="18"/>
      <c r="K172" s="19"/>
      <c r="M172" s="19"/>
    </row>
    <row r="173" spans="1:13" s="16" customFormat="1" ht="24.95" customHeight="1" x14ac:dyDescent="0.25">
      <c r="A173" s="13"/>
      <c r="C173" s="15"/>
      <c r="E173" s="15"/>
      <c r="F173" s="19"/>
      <c r="H173" s="19"/>
      <c r="I173" s="18"/>
      <c r="J173" s="18"/>
      <c r="K173" s="19"/>
      <c r="M173" s="19"/>
    </row>
    <row r="174" spans="1:13" s="16" customFormat="1" ht="24.95" customHeight="1" x14ac:dyDescent="0.25">
      <c r="A174" s="13"/>
      <c r="C174" s="15"/>
      <c r="E174" s="15"/>
      <c r="F174" s="19"/>
      <c r="H174" s="19"/>
      <c r="I174" s="18"/>
      <c r="J174" s="18"/>
      <c r="K174" s="19"/>
      <c r="M174" s="19"/>
    </row>
    <row r="175" spans="1:13" s="16" customFormat="1" ht="24.95" customHeight="1" x14ac:dyDescent="0.25">
      <c r="A175" s="13"/>
      <c r="C175" s="15"/>
      <c r="E175" s="15"/>
      <c r="F175" s="19"/>
      <c r="H175" s="19"/>
      <c r="I175" s="18"/>
      <c r="J175" s="18"/>
      <c r="K175" s="19"/>
      <c r="M175" s="19"/>
    </row>
    <row r="176" spans="1:13" s="16" customFormat="1" ht="24.95" customHeight="1" x14ac:dyDescent="0.25">
      <c r="A176" s="13"/>
      <c r="C176" s="15"/>
      <c r="E176" s="15"/>
      <c r="F176" s="19"/>
      <c r="H176" s="19"/>
      <c r="I176" s="18"/>
      <c r="J176" s="18"/>
      <c r="K176" s="19"/>
      <c r="M176" s="19"/>
    </row>
    <row r="177" spans="1:13" s="16" customFormat="1" ht="24.95" customHeight="1" x14ac:dyDescent="0.25">
      <c r="A177" s="13"/>
      <c r="C177" s="15"/>
      <c r="E177" s="15"/>
      <c r="F177" s="19"/>
      <c r="H177" s="19"/>
      <c r="I177" s="18"/>
      <c r="J177" s="18"/>
      <c r="K177" s="19"/>
      <c r="M177" s="19"/>
    </row>
    <row r="178" spans="1:13" s="16" customFormat="1" ht="24.95" customHeight="1" x14ac:dyDescent="0.25">
      <c r="A178" s="13"/>
      <c r="C178" s="15"/>
      <c r="E178" s="15"/>
      <c r="F178" s="19"/>
      <c r="H178" s="19"/>
      <c r="I178" s="18"/>
      <c r="J178" s="18"/>
      <c r="K178" s="19"/>
      <c r="M178" s="19"/>
    </row>
    <row r="179" spans="1:13" s="16" customFormat="1" ht="24.95" customHeight="1" x14ac:dyDescent="0.25">
      <c r="A179" s="13"/>
      <c r="C179" s="15"/>
      <c r="E179" s="15"/>
      <c r="F179" s="19"/>
      <c r="H179" s="19"/>
      <c r="I179" s="18"/>
      <c r="J179" s="18"/>
      <c r="K179" s="19"/>
      <c r="M179" s="19"/>
    </row>
    <row r="180" spans="1:13" s="16" customFormat="1" ht="24.95" customHeight="1" x14ac:dyDescent="0.25">
      <c r="A180" s="13"/>
      <c r="C180" s="15"/>
      <c r="E180" s="15"/>
      <c r="F180" s="19"/>
      <c r="H180" s="19"/>
      <c r="I180" s="18"/>
      <c r="J180" s="18"/>
      <c r="K180" s="19"/>
      <c r="M180" s="19"/>
    </row>
    <row r="181" spans="1:13" s="16" customFormat="1" ht="24.95" customHeight="1" x14ac:dyDescent="0.25">
      <c r="A181" s="13"/>
      <c r="C181" s="15"/>
      <c r="E181" s="15"/>
      <c r="F181" s="19"/>
      <c r="H181" s="19"/>
      <c r="I181" s="18"/>
      <c r="J181" s="18"/>
      <c r="K181" s="19"/>
      <c r="M181" s="19"/>
    </row>
    <row r="182" spans="1:13" s="16" customFormat="1" ht="24.95" customHeight="1" x14ac:dyDescent="0.25">
      <c r="A182" s="13"/>
      <c r="C182" s="15"/>
      <c r="E182" s="15"/>
      <c r="F182" s="19"/>
      <c r="H182" s="19"/>
      <c r="I182" s="18"/>
      <c r="J182" s="18"/>
      <c r="K182" s="19"/>
      <c r="M182" s="19"/>
    </row>
    <row r="183" spans="1:13" s="16" customFormat="1" ht="24.95" customHeight="1" x14ac:dyDescent="0.25">
      <c r="A183" s="13"/>
      <c r="C183" s="15"/>
      <c r="E183" s="15"/>
      <c r="F183" s="19"/>
      <c r="H183" s="19"/>
      <c r="I183" s="18"/>
      <c r="J183" s="18"/>
      <c r="K183" s="19"/>
      <c r="M183" s="19"/>
    </row>
    <row r="184" spans="1:13" s="16" customFormat="1" ht="24.95" customHeight="1" x14ac:dyDescent="0.25">
      <c r="A184" s="13"/>
      <c r="C184" s="15"/>
      <c r="E184" s="15"/>
      <c r="F184" s="19"/>
      <c r="H184" s="19"/>
      <c r="I184" s="18"/>
      <c r="J184" s="18"/>
      <c r="K184" s="19"/>
      <c r="M184" s="19"/>
    </row>
    <row r="185" spans="1:13" s="16" customFormat="1" ht="24.95" customHeight="1" x14ac:dyDescent="0.25">
      <c r="A185" s="13"/>
      <c r="C185" s="15"/>
      <c r="E185" s="15"/>
      <c r="F185" s="19"/>
      <c r="H185" s="19"/>
      <c r="I185" s="18"/>
      <c r="J185" s="18"/>
      <c r="K185" s="19"/>
      <c r="M185" s="19"/>
    </row>
    <row r="186" spans="1:13" s="16" customFormat="1" ht="24.95" customHeight="1" x14ac:dyDescent="0.25">
      <c r="A186" s="13"/>
      <c r="C186" s="15"/>
      <c r="E186" s="15"/>
      <c r="F186" s="19"/>
      <c r="H186" s="19"/>
      <c r="I186" s="18"/>
      <c r="J186" s="18"/>
      <c r="K186" s="19"/>
      <c r="M186" s="19"/>
    </row>
    <row r="187" spans="1:13" s="16" customFormat="1" ht="24.95" customHeight="1" x14ac:dyDescent="0.25">
      <c r="A187" s="13"/>
      <c r="C187" s="15"/>
      <c r="E187" s="15"/>
      <c r="F187" s="19"/>
      <c r="H187" s="19"/>
      <c r="I187" s="18"/>
      <c r="J187" s="18"/>
      <c r="K187" s="19"/>
      <c r="M187" s="19"/>
    </row>
    <row r="188" spans="1:13" s="16" customFormat="1" ht="24.95" customHeight="1" x14ac:dyDescent="0.25">
      <c r="A188" s="13"/>
      <c r="C188" s="15"/>
      <c r="E188" s="15"/>
      <c r="F188" s="19"/>
      <c r="H188" s="19"/>
      <c r="I188" s="18"/>
      <c r="J188" s="18"/>
      <c r="K188" s="19"/>
      <c r="M188" s="19"/>
    </row>
    <row r="189" spans="1:13" s="16" customFormat="1" ht="24.95" customHeight="1" x14ac:dyDescent="0.25">
      <c r="A189" s="13"/>
      <c r="C189" s="15"/>
      <c r="E189" s="15"/>
      <c r="F189" s="19"/>
      <c r="H189" s="19"/>
      <c r="I189" s="18"/>
      <c r="J189" s="18"/>
      <c r="K189" s="19"/>
      <c r="M189" s="19"/>
    </row>
    <row r="190" spans="1:13" s="16" customFormat="1" ht="24.95" customHeight="1" x14ac:dyDescent="0.25">
      <c r="A190" s="13"/>
      <c r="C190" s="15"/>
      <c r="E190" s="15"/>
      <c r="F190" s="19"/>
      <c r="H190" s="19"/>
      <c r="I190" s="18"/>
      <c r="J190" s="18"/>
      <c r="K190" s="19"/>
      <c r="M190" s="19"/>
    </row>
    <row r="191" spans="1:13" s="16" customFormat="1" ht="24.95" customHeight="1" x14ac:dyDescent="0.25">
      <c r="A191" s="13"/>
      <c r="C191" s="15"/>
      <c r="E191" s="15"/>
      <c r="F191" s="19"/>
      <c r="H191" s="19"/>
      <c r="I191" s="18"/>
      <c r="J191" s="18"/>
      <c r="K191" s="19"/>
      <c r="M191" s="19"/>
    </row>
    <row r="192" spans="1:13" s="16" customFormat="1" ht="24.95" customHeight="1" x14ac:dyDescent="0.25">
      <c r="A192" s="13"/>
      <c r="C192" s="15"/>
      <c r="E192" s="15"/>
      <c r="F192" s="19"/>
      <c r="H192" s="19"/>
      <c r="I192" s="18"/>
      <c r="J192" s="18"/>
      <c r="K192" s="19"/>
      <c r="M192" s="19"/>
    </row>
    <row r="193" spans="1:13" s="16" customFormat="1" ht="24.95" customHeight="1" x14ac:dyDescent="0.25">
      <c r="A193" s="13"/>
      <c r="C193" s="15"/>
      <c r="E193" s="15"/>
      <c r="F193" s="19"/>
      <c r="H193" s="19"/>
      <c r="I193" s="18"/>
      <c r="J193" s="18"/>
      <c r="K193" s="19"/>
      <c r="M193" s="19"/>
    </row>
    <row r="194" spans="1:13" s="16" customFormat="1" ht="24.95" customHeight="1" x14ac:dyDescent="0.25">
      <c r="A194" s="13"/>
      <c r="C194" s="15"/>
      <c r="E194" s="15"/>
      <c r="F194" s="19"/>
      <c r="H194" s="19"/>
      <c r="I194" s="18"/>
      <c r="J194" s="18"/>
      <c r="K194" s="19"/>
      <c r="M194" s="19"/>
    </row>
    <row r="195" spans="1:13" s="16" customFormat="1" ht="24.95" customHeight="1" x14ac:dyDescent="0.25">
      <c r="A195" s="13"/>
      <c r="C195" s="15"/>
      <c r="E195" s="15"/>
      <c r="F195" s="19"/>
      <c r="H195" s="19"/>
      <c r="I195" s="18"/>
      <c r="J195" s="18"/>
      <c r="K195" s="19"/>
      <c r="M195" s="19"/>
    </row>
    <row r="196" spans="1:13" s="16" customFormat="1" ht="24.95" customHeight="1" x14ac:dyDescent="0.25">
      <c r="A196" s="13"/>
      <c r="C196" s="15"/>
      <c r="E196" s="15"/>
      <c r="F196" s="19"/>
      <c r="H196" s="19"/>
      <c r="I196" s="18"/>
      <c r="J196" s="18"/>
      <c r="K196" s="19"/>
      <c r="M196" s="19"/>
    </row>
    <row r="197" spans="1:13" s="16" customFormat="1" ht="24.95" customHeight="1" x14ac:dyDescent="0.25">
      <c r="A197" s="13"/>
      <c r="C197" s="15"/>
      <c r="E197" s="15"/>
      <c r="F197" s="19"/>
      <c r="H197" s="19"/>
      <c r="I197" s="18"/>
      <c r="J197" s="18"/>
      <c r="K197" s="19"/>
      <c r="M197" s="19"/>
    </row>
    <row r="198" spans="1:13" s="16" customFormat="1" ht="24.95" customHeight="1" x14ac:dyDescent="0.25">
      <c r="A198" s="13"/>
      <c r="C198" s="15"/>
      <c r="E198" s="15"/>
      <c r="F198" s="19"/>
      <c r="H198" s="19"/>
      <c r="I198" s="18"/>
      <c r="J198" s="18"/>
      <c r="K198" s="19"/>
      <c r="M198" s="19"/>
    </row>
    <row r="199" spans="1:13" s="16" customFormat="1" ht="24.95" customHeight="1" x14ac:dyDescent="0.25">
      <c r="A199" s="13"/>
      <c r="C199" s="15"/>
      <c r="E199" s="15"/>
      <c r="F199" s="19"/>
      <c r="H199" s="19"/>
      <c r="I199" s="18"/>
      <c r="J199" s="18"/>
      <c r="K199" s="19"/>
      <c r="M199" s="19"/>
    </row>
    <row r="200" spans="1:13" s="16" customFormat="1" ht="24.95" customHeight="1" x14ac:dyDescent="0.25">
      <c r="A200" s="13"/>
      <c r="C200" s="15"/>
      <c r="E200" s="15"/>
      <c r="F200" s="19"/>
      <c r="H200" s="19"/>
      <c r="I200" s="18"/>
      <c r="J200" s="18"/>
      <c r="K200" s="19"/>
      <c r="M200" s="19"/>
    </row>
    <row r="201" spans="1:13" s="16" customFormat="1" ht="24.95" customHeight="1" x14ac:dyDescent="0.25">
      <c r="A201" s="13"/>
      <c r="C201" s="15"/>
      <c r="E201" s="15"/>
      <c r="F201" s="19"/>
      <c r="H201" s="19"/>
      <c r="I201" s="18"/>
      <c r="J201" s="18"/>
      <c r="K201" s="19"/>
      <c r="M201" s="19"/>
    </row>
    <row r="202" spans="1:13" s="16" customFormat="1" ht="24.95" customHeight="1" x14ac:dyDescent="0.25">
      <c r="A202" s="13"/>
      <c r="C202" s="15"/>
      <c r="E202" s="15"/>
      <c r="F202" s="19"/>
      <c r="H202" s="19"/>
      <c r="I202" s="18"/>
      <c r="J202" s="18"/>
      <c r="K202" s="19"/>
      <c r="M202" s="19"/>
    </row>
    <row r="203" spans="1:13" s="16" customFormat="1" ht="24.95" customHeight="1" x14ac:dyDescent="0.25">
      <c r="A203" s="13"/>
      <c r="C203" s="15"/>
      <c r="E203" s="15"/>
      <c r="F203" s="19"/>
      <c r="H203" s="19"/>
      <c r="I203" s="18"/>
      <c r="J203" s="18"/>
      <c r="K203" s="19"/>
      <c r="M203" s="19"/>
    </row>
    <row r="204" spans="1:13" s="16" customFormat="1" ht="24.95" customHeight="1" x14ac:dyDescent="0.25">
      <c r="A204" s="13"/>
      <c r="C204" s="15"/>
      <c r="E204" s="15"/>
      <c r="F204" s="19"/>
      <c r="H204" s="19"/>
      <c r="I204" s="18"/>
      <c r="J204" s="18"/>
      <c r="K204" s="19"/>
      <c r="M204" s="19"/>
    </row>
    <row r="205" spans="1:13" s="16" customFormat="1" ht="24.95" customHeight="1" x14ac:dyDescent="0.25">
      <c r="A205" s="13"/>
      <c r="C205" s="15"/>
      <c r="E205" s="15"/>
      <c r="F205" s="19"/>
      <c r="H205" s="19"/>
      <c r="I205" s="18"/>
      <c r="J205" s="18"/>
      <c r="K205" s="19"/>
      <c r="M205" s="19"/>
    </row>
    <row r="206" spans="1:13" s="16" customFormat="1" ht="24.95" customHeight="1" x14ac:dyDescent="0.25">
      <c r="A206" s="13"/>
      <c r="C206" s="15"/>
      <c r="E206" s="15"/>
      <c r="F206" s="19"/>
      <c r="H206" s="19"/>
      <c r="I206" s="18"/>
      <c r="J206" s="18"/>
      <c r="K206" s="19"/>
      <c r="M206" s="19"/>
    </row>
    <row r="207" spans="1:13" s="16" customFormat="1" ht="24.95" customHeight="1" x14ac:dyDescent="0.25">
      <c r="A207" s="13"/>
      <c r="C207" s="15"/>
      <c r="E207" s="15"/>
      <c r="F207" s="19"/>
      <c r="H207" s="19"/>
      <c r="I207" s="18"/>
      <c r="J207" s="18"/>
      <c r="K207" s="19"/>
      <c r="M207" s="19"/>
    </row>
    <row r="208" spans="1:13" s="16" customFormat="1" ht="24.95" customHeight="1" x14ac:dyDescent="0.25">
      <c r="A208" s="13"/>
      <c r="C208" s="15"/>
      <c r="E208" s="15"/>
      <c r="F208" s="19"/>
      <c r="H208" s="19"/>
      <c r="I208" s="18"/>
      <c r="J208" s="18"/>
      <c r="K208" s="19"/>
      <c r="M208" s="19"/>
    </row>
    <row r="209" spans="1:13" s="16" customFormat="1" ht="24.95" customHeight="1" x14ac:dyDescent="0.25">
      <c r="A209" s="13"/>
      <c r="C209" s="15"/>
      <c r="E209" s="15"/>
      <c r="F209" s="19"/>
      <c r="H209" s="19"/>
      <c r="I209" s="18"/>
      <c r="J209" s="18"/>
      <c r="K209" s="19"/>
      <c r="M209" s="19"/>
    </row>
    <row r="210" spans="1:13" s="16" customFormat="1" ht="24.95" customHeight="1" x14ac:dyDescent="0.25">
      <c r="A210" s="13"/>
      <c r="C210" s="15"/>
      <c r="E210" s="15"/>
      <c r="F210" s="19"/>
      <c r="H210" s="19"/>
      <c r="I210" s="18"/>
      <c r="J210" s="18"/>
      <c r="K210" s="19"/>
      <c r="M210" s="19"/>
    </row>
    <row r="211" spans="1:13" s="16" customFormat="1" ht="24.95" customHeight="1" x14ac:dyDescent="0.25">
      <c r="A211" s="13"/>
      <c r="C211" s="15"/>
      <c r="E211" s="15"/>
      <c r="F211" s="19"/>
      <c r="H211" s="19"/>
      <c r="I211" s="18"/>
      <c r="J211" s="18"/>
      <c r="K211" s="19"/>
      <c r="M211" s="19"/>
    </row>
    <row r="212" spans="1:13" s="16" customFormat="1" ht="24.95" customHeight="1" x14ac:dyDescent="0.25">
      <c r="A212" s="13"/>
      <c r="C212" s="15"/>
      <c r="E212" s="15"/>
      <c r="F212" s="19"/>
      <c r="H212" s="19"/>
      <c r="I212" s="18"/>
      <c r="J212" s="18"/>
      <c r="K212" s="19"/>
      <c r="M212" s="19"/>
    </row>
    <row r="213" spans="1:13" s="16" customFormat="1" ht="24.95" customHeight="1" x14ac:dyDescent="0.25">
      <c r="A213" s="13"/>
      <c r="C213" s="15"/>
      <c r="E213" s="15"/>
      <c r="F213" s="19"/>
      <c r="H213" s="19"/>
      <c r="I213" s="18"/>
      <c r="J213" s="18"/>
      <c r="K213" s="19"/>
      <c r="M213" s="19"/>
    </row>
    <row r="214" spans="1:13" s="16" customFormat="1" ht="24.95" customHeight="1" x14ac:dyDescent="0.25">
      <c r="A214" s="13"/>
      <c r="C214" s="15"/>
      <c r="E214" s="15"/>
      <c r="F214" s="19"/>
      <c r="H214" s="19"/>
      <c r="I214" s="18"/>
      <c r="J214" s="18"/>
      <c r="K214" s="19"/>
      <c r="M214" s="19"/>
    </row>
    <row r="215" spans="1:13" s="16" customFormat="1" ht="24.95" customHeight="1" x14ac:dyDescent="0.25">
      <c r="A215" s="13"/>
      <c r="C215" s="15"/>
      <c r="E215" s="15"/>
      <c r="F215" s="19"/>
      <c r="H215" s="19"/>
      <c r="I215" s="18"/>
      <c r="J215" s="18"/>
      <c r="K215" s="19"/>
      <c r="M215" s="19"/>
    </row>
    <row r="216" spans="1:13" s="16" customFormat="1" ht="24.95" customHeight="1" x14ac:dyDescent="0.25">
      <c r="A216" s="13"/>
      <c r="C216" s="15"/>
      <c r="E216" s="15"/>
      <c r="F216" s="19"/>
      <c r="H216" s="19"/>
      <c r="I216" s="18"/>
      <c r="J216" s="18"/>
      <c r="K216" s="19"/>
      <c r="M216" s="19"/>
    </row>
    <row r="217" spans="1:13" s="16" customFormat="1" ht="24.95" customHeight="1" x14ac:dyDescent="0.25">
      <c r="A217" s="13"/>
      <c r="C217" s="15"/>
      <c r="E217" s="15"/>
      <c r="F217" s="19"/>
      <c r="H217" s="19"/>
      <c r="I217" s="18"/>
      <c r="J217" s="18"/>
      <c r="K217" s="19"/>
      <c r="M217" s="19"/>
    </row>
    <row r="218" spans="1:13" s="16" customFormat="1" ht="24.95" customHeight="1" x14ac:dyDescent="0.25">
      <c r="A218" s="13"/>
      <c r="C218" s="15"/>
      <c r="E218" s="15"/>
      <c r="F218" s="19"/>
      <c r="H218" s="19"/>
      <c r="I218" s="18"/>
      <c r="J218" s="18"/>
      <c r="K218" s="19"/>
      <c r="M218" s="19"/>
    </row>
    <row r="219" spans="1:13" s="16" customFormat="1" ht="24.95" customHeight="1" x14ac:dyDescent="0.25">
      <c r="A219" s="13"/>
      <c r="C219" s="15"/>
      <c r="E219" s="15"/>
      <c r="F219" s="19"/>
      <c r="H219" s="19"/>
      <c r="I219" s="18"/>
      <c r="J219" s="18"/>
      <c r="K219" s="19"/>
      <c r="M219" s="19"/>
    </row>
    <row r="220" spans="1:13" s="16" customFormat="1" ht="24.95" customHeight="1" x14ac:dyDescent="0.25">
      <c r="A220" s="13"/>
      <c r="C220" s="15"/>
      <c r="E220" s="15"/>
      <c r="F220" s="19"/>
      <c r="H220" s="19"/>
      <c r="I220" s="18"/>
      <c r="J220" s="18"/>
      <c r="K220" s="19"/>
      <c r="M220" s="19"/>
    </row>
    <row r="221" spans="1:13" s="16" customFormat="1" ht="24.95" customHeight="1" x14ac:dyDescent="0.25">
      <c r="A221" s="13"/>
      <c r="C221" s="15"/>
      <c r="E221" s="15"/>
      <c r="F221" s="19"/>
      <c r="H221" s="19"/>
      <c r="I221" s="18"/>
      <c r="J221" s="18"/>
      <c r="K221" s="19"/>
      <c r="M221" s="19"/>
    </row>
    <row r="222" spans="1:13" s="16" customFormat="1" ht="24.95" customHeight="1" x14ac:dyDescent="0.25">
      <c r="A222" s="13"/>
      <c r="C222" s="15"/>
      <c r="E222" s="15"/>
      <c r="F222" s="19"/>
      <c r="H222" s="19"/>
      <c r="I222" s="18"/>
      <c r="J222" s="18"/>
      <c r="K222" s="19"/>
      <c r="M222" s="19"/>
    </row>
    <row r="223" spans="1:13" s="16" customFormat="1" ht="24.95" customHeight="1" x14ac:dyDescent="0.25">
      <c r="A223" s="13"/>
      <c r="C223" s="15"/>
      <c r="E223" s="15"/>
      <c r="F223" s="19"/>
      <c r="H223" s="19"/>
      <c r="I223" s="18"/>
      <c r="J223" s="18"/>
      <c r="K223" s="19"/>
      <c r="M223" s="19"/>
    </row>
    <row r="224" spans="1:13" s="16" customFormat="1" ht="24.95" customHeight="1" x14ac:dyDescent="0.25">
      <c r="A224" s="13"/>
      <c r="C224" s="15"/>
      <c r="E224" s="15"/>
      <c r="F224" s="19"/>
      <c r="H224" s="19"/>
      <c r="I224" s="18"/>
      <c r="J224" s="18"/>
      <c r="K224" s="19"/>
      <c r="M224" s="19"/>
    </row>
    <row r="225" spans="1:13" s="16" customFormat="1" ht="24.95" customHeight="1" x14ac:dyDescent="0.25">
      <c r="A225" s="13"/>
      <c r="C225" s="15"/>
      <c r="E225" s="15"/>
      <c r="F225" s="19"/>
      <c r="H225" s="19"/>
      <c r="I225" s="18"/>
      <c r="J225" s="18"/>
      <c r="K225" s="19"/>
      <c r="M225" s="19"/>
    </row>
    <row r="226" spans="1:13" s="16" customFormat="1" ht="24.95" customHeight="1" x14ac:dyDescent="0.25">
      <c r="A226" s="13"/>
      <c r="C226" s="15"/>
      <c r="E226" s="15"/>
      <c r="F226" s="19"/>
      <c r="H226" s="19"/>
      <c r="I226" s="18"/>
      <c r="J226" s="18"/>
      <c r="K226" s="19"/>
      <c r="M226" s="19"/>
    </row>
    <row r="227" spans="1:13" s="16" customFormat="1" ht="24.95" customHeight="1" x14ac:dyDescent="0.25">
      <c r="A227" s="13"/>
      <c r="C227" s="15"/>
      <c r="E227" s="15"/>
      <c r="F227" s="19"/>
      <c r="H227" s="19"/>
      <c r="I227" s="18"/>
      <c r="J227" s="18"/>
      <c r="K227" s="19"/>
      <c r="M227" s="19"/>
    </row>
    <row r="228" spans="1:13" s="16" customFormat="1" ht="24.95" customHeight="1" x14ac:dyDescent="0.25">
      <c r="A228" s="13"/>
      <c r="C228" s="15"/>
      <c r="E228" s="15"/>
      <c r="F228" s="19"/>
      <c r="H228" s="19"/>
      <c r="I228" s="18"/>
      <c r="J228" s="18"/>
      <c r="K228" s="19"/>
      <c r="M228" s="19"/>
    </row>
    <row r="229" spans="1:13" s="16" customFormat="1" ht="24.95" customHeight="1" x14ac:dyDescent="0.25">
      <c r="A229" s="13"/>
      <c r="C229" s="15"/>
      <c r="E229" s="15"/>
      <c r="F229" s="19"/>
      <c r="H229" s="19"/>
      <c r="I229" s="18"/>
      <c r="J229" s="18"/>
      <c r="K229" s="19"/>
      <c r="M229" s="19"/>
    </row>
    <row r="230" spans="1:13" s="16" customFormat="1" ht="24.95" customHeight="1" x14ac:dyDescent="0.25">
      <c r="A230" s="13"/>
      <c r="C230" s="15"/>
      <c r="E230" s="15"/>
      <c r="F230" s="19"/>
      <c r="H230" s="19"/>
      <c r="I230" s="18"/>
      <c r="J230" s="18"/>
      <c r="K230" s="19"/>
      <c r="M230" s="19"/>
    </row>
    <row r="231" spans="1:13" s="16" customFormat="1" ht="24.95" customHeight="1" x14ac:dyDescent="0.25">
      <c r="A231" s="13"/>
      <c r="C231" s="15"/>
      <c r="E231" s="15"/>
      <c r="F231" s="19"/>
      <c r="H231" s="19"/>
      <c r="I231" s="18"/>
      <c r="J231" s="18"/>
      <c r="K231" s="19"/>
      <c r="M231" s="19"/>
    </row>
    <row r="232" spans="1:13" s="16" customFormat="1" ht="24.95" customHeight="1" x14ac:dyDescent="0.25">
      <c r="A232" s="13"/>
      <c r="C232" s="15"/>
      <c r="E232" s="15"/>
      <c r="F232" s="19"/>
      <c r="H232" s="19"/>
      <c r="I232" s="18"/>
      <c r="J232" s="18"/>
      <c r="K232" s="19"/>
      <c r="M232" s="19"/>
    </row>
    <row r="233" spans="1:13" s="16" customFormat="1" ht="24.95" customHeight="1" x14ac:dyDescent="0.25">
      <c r="A233" s="13"/>
      <c r="C233" s="15"/>
      <c r="E233" s="15"/>
      <c r="F233" s="19"/>
      <c r="H233" s="19"/>
      <c r="I233" s="18"/>
      <c r="J233" s="18"/>
      <c r="K233" s="19"/>
      <c r="M233" s="19"/>
    </row>
    <row r="234" spans="1:13" s="16" customFormat="1" ht="24.95" customHeight="1" x14ac:dyDescent="0.25">
      <c r="A234" s="13"/>
      <c r="C234" s="15"/>
      <c r="E234" s="15"/>
      <c r="F234" s="19"/>
      <c r="H234" s="19"/>
      <c r="I234" s="18"/>
      <c r="J234" s="18"/>
      <c r="K234" s="19"/>
      <c r="M234" s="19"/>
    </row>
    <row r="235" spans="1:13" ht="20.100000000000001" customHeight="1" x14ac:dyDescent="0.25">
      <c r="M235" s="19"/>
    </row>
  </sheetData>
  <hyperlinks>
    <hyperlink ref="H41" r:id="rId1"/>
    <hyperlink ref="H42" r:id="rId2"/>
    <hyperlink ref="H28" r:id="rId3"/>
    <hyperlink ref="H40:H54" r:id="rId4" display="I:\HLA Typing Section RB\Section Orders\VHBio\Quote expires April 2022 Q2021-0000823.pdf"/>
    <hyperlink ref="H58" r:id="rId5"/>
    <hyperlink ref="F59" r:id="rId6"/>
    <hyperlink ref="F63" r:id="rId7"/>
  </hyperlinks>
  <pageMargins left="0.7" right="0.7" top="0.75" bottom="0.75" header="0.3" footer="0.3"/>
  <pageSetup paperSize="9" orientation="portrait" r:id="rId8"/>
  <drawing r:id="rId9"/>
  <legacyDrawing r:id="rId10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11" name="Button 1">
              <controlPr defaultSize="0" print="0" autoFill="0" autoPict="0" macro="[0]!CreateOrder">
                <anchor moveWithCells="1" sizeWithCells="1">
                  <from>
                    <xdr:col>0</xdr:col>
                    <xdr:colOff>114300</xdr:colOff>
                    <xdr:row>0</xdr:row>
                    <xdr:rowOff>28575</xdr:rowOff>
                  </from>
                  <to>
                    <xdr:col>0</xdr:col>
                    <xdr:colOff>1095375</xdr:colOff>
                    <xdr:row>0</xdr:row>
                    <xdr:rowOff>581025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2" name="Button 2">
              <controlPr defaultSize="0" print="0" autoFill="0" autoPict="0" macro="[0]!CreateInventoryItem">
                <anchor moveWithCells="1" sizeWithCells="1">
                  <from>
                    <xdr:col>0</xdr:col>
                    <xdr:colOff>2305050</xdr:colOff>
                    <xdr:row>0</xdr:row>
                    <xdr:rowOff>38100</xdr:rowOff>
                  </from>
                  <to>
                    <xdr:col>0</xdr:col>
                    <xdr:colOff>3248025</xdr:colOff>
                    <xdr:row>0</xdr:row>
                    <xdr:rowOff>590550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13" name="Button 3">
              <controlPr defaultSize="0" print="0" autoFill="0" autoPict="0" macro="[0]!CreateOrderMulti">
                <anchor moveWithCells="1" sizeWithCells="1">
                  <from>
                    <xdr:col>0</xdr:col>
                    <xdr:colOff>1209675</xdr:colOff>
                    <xdr:row>0</xdr:row>
                    <xdr:rowOff>38100</xdr:rowOff>
                  </from>
                  <to>
                    <xdr:col>0</xdr:col>
                    <xdr:colOff>2190750</xdr:colOff>
                    <xdr:row>0</xdr:row>
                    <xdr:rowOff>581025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'Supplier List'!$A$2:$A$29</xm:f>
          </x14:formula1>
          <xm:sqref>B3:B1000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theme="3" tint="0.59999389629810485"/>
  </sheetPr>
  <dimension ref="A1:M1000"/>
  <sheetViews>
    <sheetView workbookViewId="0">
      <selection activeCell="B19" sqref="B19"/>
    </sheetView>
  </sheetViews>
  <sheetFormatPr defaultRowHeight="15" x14ac:dyDescent="0.25"/>
  <cols>
    <col min="1" max="1" width="16.42578125" style="27" customWidth="1"/>
    <col min="2" max="2" width="28.7109375" customWidth="1"/>
    <col min="3" max="3" width="22.140625" bestFit="1" customWidth="1"/>
    <col min="4" max="4" width="14.5703125" customWidth="1"/>
    <col min="5" max="5" width="22.42578125" bestFit="1" customWidth="1"/>
    <col min="6" max="6" width="13.42578125" customWidth="1"/>
    <col min="7" max="7" width="17.7109375" bestFit="1" customWidth="1"/>
    <col min="8" max="8" width="13.7109375" customWidth="1"/>
    <col min="9" max="9" width="14.140625" bestFit="1" customWidth="1"/>
    <col min="10" max="10" width="20.85546875" bestFit="1" customWidth="1"/>
    <col min="11" max="11" width="24.28515625" bestFit="1" customWidth="1"/>
    <col min="12" max="12" width="28.42578125" customWidth="1"/>
    <col min="13" max="13" width="32.7109375" bestFit="1" customWidth="1"/>
  </cols>
  <sheetData>
    <row r="1" spans="1:13" ht="47.25" customHeight="1" x14ac:dyDescent="0.25">
      <c r="A1" s="25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</row>
    <row r="2" spans="1:13" s="12" customFormat="1" ht="20.100000000000001" customHeight="1" x14ac:dyDescent="0.3">
      <c r="A2" s="26" t="s">
        <v>214</v>
      </c>
      <c r="B2" s="7" t="s">
        <v>0</v>
      </c>
      <c r="C2" s="7" t="s">
        <v>215</v>
      </c>
      <c r="D2" s="7" t="s">
        <v>1</v>
      </c>
      <c r="E2" s="7" t="s">
        <v>2</v>
      </c>
      <c r="F2" s="7" t="s">
        <v>3</v>
      </c>
      <c r="G2" s="7" t="s">
        <v>216</v>
      </c>
      <c r="H2" s="7" t="s">
        <v>217</v>
      </c>
      <c r="I2" s="7" t="s">
        <v>218</v>
      </c>
      <c r="J2" s="7" t="s">
        <v>219</v>
      </c>
      <c r="K2" s="7" t="s">
        <v>220</v>
      </c>
      <c r="L2" s="7" t="s">
        <v>221</v>
      </c>
      <c r="M2" s="7" t="s">
        <v>222</v>
      </c>
    </row>
    <row r="3" spans="1:13" ht="20.100000000000001" customHeight="1" x14ac:dyDescent="0.25">
      <c r="A3" s="27">
        <v>1</v>
      </c>
      <c r="B3" t="s">
        <v>168</v>
      </c>
      <c r="C3">
        <v>123456</v>
      </c>
      <c r="D3" t="s">
        <v>169</v>
      </c>
      <c r="E3" t="s">
        <v>170</v>
      </c>
      <c r="F3" t="s">
        <v>127</v>
      </c>
      <c r="G3" s="28">
        <v>44274</v>
      </c>
      <c r="H3">
        <v>2</v>
      </c>
      <c r="I3" s="28">
        <v>44793</v>
      </c>
      <c r="J3" s="28" t="s">
        <v>318</v>
      </c>
      <c r="K3" t="s">
        <v>317</v>
      </c>
      <c r="L3" t="s">
        <v>316</v>
      </c>
      <c r="M3" t="s">
        <v>315</v>
      </c>
    </row>
    <row r="4" spans="1:13" ht="20.100000000000001" customHeight="1" x14ac:dyDescent="0.25">
      <c r="G4" s="28"/>
      <c r="I4" s="28"/>
      <c r="J4" s="28"/>
    </row>
    <row r="5" spans="1:13" ht="20.100000000000001" customHeight="1" x14ac:dyDescent="0.25">
      <c r="G5" s="28"/>
      <c r="I5" s="28"/>
    </row>
    <row r="6" spans="1:13" ht="20.100000000000001" customHeight="1" x14ac:dyDescent="0.25">
      <c r="G6" s="28"/>
    </row>
    <row r="7" spans="1:13" ht="20.100000000000001" customHeight="1" x14ac:dyDescent="0.25"/>
    <row r="8" spans="1:13" ht="20.100000000000001" customHeight="1" x14ac:dyDescent="0.25"/>
    <row r="9" spans="1:13" ht="20.100000000000001" customHeight="1" x14ac:dyDescent="0.25"/>
    <row r="10" spans="1:13" ht="20.100000000000001" customHeight="1" x14ac:dyDescent="0.25">
      <c r="F10" s="21"/>
    </row>
    <row r="11" spans="1:13" ht="20.100000000000001" customHeight="1" x14ac:dyDescent="0.25"/>
    <row r="12" spans="1:13" ht="20.100000000000001" customHeight="1" x14ac:dyDescent="0.25"/>
    <row r="13" spans="1:13" ht="20.100000000000001" customHeight="1" x14ac:dyDescent="0.25"/>
    <row r="14" spans="1:13" ht="20.100000000000001" customHeight="1" x14ac:dyDescent="0.25"/>
    <row r="15" spans="1:13" ht="20.100000000000001" customHeight="1" x14ac:dyDescent="0.25"/>
    <row r="16" spans="1:13" ht="20.100000000000001" customHeight="1" x14ac:dyDescent="0.25"/>
    <row r="17" customFormat="1" ht="20.100000000000001" customHeight="1" x14ac:dyDescent="0.25"/>
    <row r="18" customFormat="1" ht="20.100000000000001" customHeight="1" x14ac:dyDescent="0.25"/>
    <row r="19" customFormat="1" ht="20.100000000000001" customHeight="1" x14ac:dyDescent="0.25"/>
    <row r="20" customFormat="1" ht="20.100000000000001" customHeight="1" x14ac:dyDescent="0.25"/>
    <row r="21" customFormat="1" ht="20.100000000000001" customHeight="1" x14ac:dyDescent="0.25"/>
    <row r="22" customFormat="1" ht="20.100000000000001" customHeight="1" x14ac:dyDescent="0.25"/>
    <row r="23" customFormat="1" ht="20.100000000000001" customHeight="1" x14ac:dyDescent="0.25"/>
    <row r="24" customFormat="1" ht="20.100000000000001" customHeight="1" x14ac:dyDescent="0.25"/>
    <row r="25" customFormat="1" ht="20.100000000000001" customHeight="1" x14ac:dyDescent="0.25"/>
    <row r="26" customFormat="1" ht="20.100000000000001" customHeight="1" x14ac:dyDescent="0.25"/>
    <row r="27" customFormat="1" ht="20.100000000000001" customHeight="1" x14ac:dyDescent="0.25"/>
    <row r="28" customFormat="1" ht="20.100000000000001" customHeight="1" x14ac:dyDescent="0.25"/>
    <row r="29" customFormat="1" ht="20.100000000000001" customHeight="1" x14ac:dyDescent="0.25"/>
    <row r="30" customFormat="1" ht="20.100000000000001" customHeight="1" x14ac:dyDescent="0.25"/>
    <row r="31" customFormat="1" ht="20.100000000000001" customHeight="1" x14ac:dyDescent="0.25"/>
    <row r="32" customFormat="1" ht="20.100000000000001" customHeight="1" x14ac:dyDescent="0.25"/>
    <row r="33" customFormat="1" ht="20.100000000000001" customHeight="1" x14ac:dyDescent="0.25"/>
    <row r="34" customFormat="1" ht="20.100000000000001" customHeight="1" x14ac:dyDescent="0.25"/>
    <row r="35" customFormat="1" ht="20.100000000000001" customHeight="1" x14ac:dyDescent="0.25"/>
    <row r="36" customFormat="1" ht="20.100000000000001" customHeight="1" x14ac:dyDescent="0.25"/>
    <row r="37" customFormat="1" ht="20.100000000000001" customHeight="1" x14ac:dyDescent="0.25"/>
    <row r="38" customFormat="1" ht="20.100000000000001" customHeight="1" x14ac:dyDescent="0.25"/>
    <row r="39" customFormat="1" ht="20.100000000000001" customHeight="1" x14ac:dyDescent="0.25"/>
    <row r="40" customFormat="1" ht="20.100000000000001" customHeight="1" x14ac:dyDescent="0.25"/>
    <row r="41" customFormat="1" ht="20.100000000000001" customHeight="1" x14ac:dyDescent="0.25"/>
    <row r="42" customFormat="1" ht="20.100000000000001" customHeight="1" x14ac:dyDescent="0.25"/>
    <row r="43" customFormat="1" ht="20.100000000000001" customHeight="1" x14ac:dyDescent="0.25"/>
    <row r="44" customFormat="1" ht="20.100000000000001" customHeight="1" x14ac:dyDescent="0.25"/>
    <row r="45" customFormat="1" ht="20.100000000000001" customHeight="1" x14ac:dyDescent="0.25"/>
    <row r="46" customFormat="1" ht="20.100000000000001" customHeight="1" x14ac:dyDescent="0.25"/>
    <row r="47" customFormat="1" ht="20.100000000000001" customHeight="1" x14ac:dyDescent="0.25"/>
    <row r="48" customFormat="1" ht="20.100000000000001" customHeight="1" x14ac:dyDescent="0.25"/>
    <row r="49" customFormat="1" ht="20.100000000000001" customHeight="1" x14ac:dyDescent="0.25"/>
    <row r="50" customFormat="1" ht="20.100000000000001" customHeight="1" x14ac:dyDescent="0.25"/>
    <row r="51" customFormat="1" ht="20.100000000000001" customHeight="1" x14ac:dyDescent="0.25"/>
    <row r="52" customFormat="1" ht="20.100000000000001" customHeight="1" x14ac:dyDescent="0.25"/>
    <row r="53" customFormat="1" ht="20.100000000000001" customHeight="1" x14ac:dyDescent="0.25"/>
    <row r="54" customFormat="1" ht="20.100000000000001" customHeight="1" x14ac:dyDescent="0.25"/>
    <row r="55" customFormat="1" ht="20.100000000000001" customHeight="1" x14ac:dyDescent="0.25"/>
    <row r="56" customFormat="1" ht="20.100000000000001" customHeight="1" x14ac:dyDescent="0.25"/>
    <row r="57" customFormat="1" ht="20.100000000000001" customHeight="1" x14ac:dyDescent="0.25"/>
    <row r="58" customFormat="1" ht="20.100000000000001" customHeight="1" x14ac:dyDescent="0.25"/>
    <row r="59" customFormat="1" ht="20.100000000000001" customHeight="1" x14ac:dyDescent="0.25"/>
    <row r="60" customFormat="1" ht="20.100000000000001" customHeight="1" x14ac:dyDescent="0.25"/>
    <row r="61" customFormat="1" ht="20.100000000000001" customHeight="1" x14ac:dyDescent="0.25"/>
    <row r="62" customFormat="1" ht="20.100000000000001" customHeight="1" x14ac:dyDescent="0.25"/>
    <row r="63" customFormat="1" ht="20.100000000000001" customHeight="1" x14ac:dyDescent="0.25"/>
    <row r="64" customFormat="1" ht="20.100000000000001" customHeight="1" x14ac:dyDescent="0.25"/>
    <row r="65" customFormat="1" ht="20.100000000000001" customHeight="1" x14ac:dyDescent="0.25"/>
    <row r="66" customFormat="1" ht="20.100000000000001" customHeight="1" x14ac:dyDescent="0.25"/>
    <row r="67" customFormat="1" ht="20.100000000000001" customHeight="1" x14ac:dyDescent="0.25"/>
    <row r="68" customFormat="1" ht="20.100000000000001" customHeight="1" x14ac:dyDescent="0.25"/>
    <row r="69" customFormat="1" ht="20.100000000000001" customHeight="1" x14ac:dyDescent="0.25"/>
    <row r="70" customFormat="1" ht="20.100000000000001" customHeight="1" x14ac:dyDescent="0.25"/>
    <row r="71" customFormat="1" ht="20.100000000000001" customHeight="1" x14ac:dyDescent="0.25"/>
    <row r="72" customFormat="1" ht="20.100000000000001" customHeight="1" x14ac:dyDescent="0.25"/>
    <row r="73" customFormat="1" ht="20.100000000000001" customHeight="1" x14ac:dyDescent="0.25"/>
    <row r="74" customFormat="1" ht="20.100000000000001" customHeight="1" x14ac:dyDescent="0.25"/>
    <row r="75" customFormat="1" ht="20.100000000000001" customHeight="1" x14ac:dyDescent="0.25"/>
    <row r="76" customFormat="1" ht="20.100000000000001" customHeight="1" x14ac:dyDescent="0.25"/>
    <row r="77" customFormat="1" ht="20.100000000000001" customHeight="1" x14ac:dyDescent="0.25"/>
    <row r="78" customFormat="1" ht="20.100000000000001" customHeight="1" x14ac:dyDescent="0.25"/>
    <row r="79" customFormat="1" ht="20.100000000000001" customHeight="1" x14ac:dyDescent="0.25"/>
    <row r="80" customFormat="1" ht="20.100000000000001" customHeight="1" x14ac:dyDescent="0.25"/>
    <row r="81" customFormat="1" ht="20.100000000000001" customHeight="1" x14ac:dyDescent="0.25"/>
    <row r="82" customFormat="1" ht="20.100000000000001" customHeight="1" x14ac:dyDescent="0.25"/>
    <row r="83" customFormat="1" ht="20.100000000000001" customHeight="1" x14ac:dyDescent="0.25"/>
    <row r="84" customFormat="1" ht="20.100000000000001" customHeight="1" x14ac:dyDescent="0.25"/>
    <row r="85" customFormat="1" ht="20.100000000000001" customHeight="1" x14ac:dyDescent="0.25"/>
    <row r="86" customFormat="1" ht="20.100000000000001" customHeight="1" x14ac:dyDescent="0.25"/>
    <row r="87" customFormat="1" ht="20.100000000000001" customHeight="1" x14ac:dyDescent="0.25"/>
    <row r="88" customFormat="1" ht="20.100000000000001" customHeight="1" x14ac:dyDescent="0.25"/>
    <row r="89" customFormat="1" ht="20.100000000000001" customHeight="1" x14ac:dyDescent="0.25"/>
    <row r="90" customFormat="1" ht="20.100000000000001" customHeight="1" x14ac:dyDescent="0.25"/>
    <row r="91" customFormat="1" ht="20.100000000000001" customHeight="1" x14ac:dyDescent="0.25"/>
    <row r="92" customFormat="1" ht="20.100000000000001" customHeight="1" x14ac:dyDescent="0.25"/>
    <row r="93" customFormat="1" ht="20.100000000000001" customHeight="1" x14ac:dyDescent="0.25"/>
    <row r="94" customFormat="1" ht="20.100000000000001" customHeight="1" x14ac:dyDescent="0.25"/>
    <row r="95" customFormat="1" ht="20.100000000000001" customHeight="1" x14ac:dyDescent="0.25"/>
    <row r="96" customFormat="1" ht="20.100000000000001" customHeight="1" x14ac:dyDescent="0.25"/>
    <row r="97" customFormat="1" ht="20.100000000000001" customHeight="1" x14ac:dyDescent="0.25"/>
    <row r="98" customFormat="1" ht="20.100000000000001" customHeight="1" x14ac:dyDescent="0.25"/>
    <row r="99" customFormat="1" ht="20.100000000000001" customHeight="1" x14ac:dyDescent="0.25"/>
    <row r="100" customFormat="1" ht="20.100000000000001" customHeight="1" x14ac:dyDescent="0.25"/>
    <row r="101" customFormat="1" ht="20.100000000000001" customHeight="1" x14ac:dyDescent="0.25"/>
    <row r="102" customFormat="1" ht="20.100000000000001" customHeight="1" x14ac:dyDescent="0.25"/>
    <row r="103" customFormat="1" ht="20.100000000000001" customHeight="1" x14ac:dyDescent="0.25"/>
    <row r="104" customFormat="1" ht="20.100000000000001" customHeight="1" x14ac:dyDescent="0.25"/>
    <row r="105" customFormat="1" ht="20.100000000000001" customHeight="1" x14ac:dyDescent="0.25"/>
    <row r="106" customFormat="1" ht="20.100000000000001" customHeight="1" x14ac:dyDescent="0.25"/>
    <row r="107" customFormat="1" ht="20.100000000000001" customHeight="1" x14ac:dyDescent="0.25"/>
    <row r="108" customFormat="1" ht="20.100000000000001" customHeight="1" x14ac:dyDescent="0.25"/>
    <row r="109" customFormat="1" ht="20.100000000000001" customHeight="1" x14ac:dyDescent="0.25"/>
    <row r="110" customFormat="1" ht="20.100000000000001" customHeight="1" x14ac:dyDescent="0.25"/>
    <row r="111" customFormat="1" ht="20.100000000000001" customHeight="1" x14ac:dyDescent="0.25"/>
    <row r="112" customFormat="1" ht="20.100000000000001" customHeight="1" x14ac:dyDescent="0.25"/>
    <row r="113" customFormat="1" ht="20.100000000000001" customHeight="1" x14ac:dyDescent="0.25"/>
    <row r="114" customFormat="1" ht="20.100000000000001" customHeight="1" x14ac:dyDescent="0.25"/>
    <row r="115" customFormat="1" ht="20.100000000000001" customHeight="1" x14ac:dyDescent="0.25"/>
    <row r="116" customFormat="1" ht="20.100000000000001" customHeight="1" x14ac:dyDescent="0.25"/>
    <row r="117" customFormat="1" ht="20.100000000000001" customHeight="1" x14ac:dyDescent="0.25"/>
    <row r="118" customFormat="1" ht="20.100000000000001" customHeight="1" x14ac:dyDescent="0.25"/>
    <row r="119" customFormat="1" ht="20.100000000000001" customHeight="1" x14ac:dyDescent="0.25"/>
    <row r="120" customFormat="1" ht="20.100000000000001" customHeight="1" x14ac:dyDescent="0.25"/>
    <row r="121" customFormat="1" ht="20.100000000000001" customHeight="1" x14ac:dyDescent="0.25"/>
    <row r="122" customFormat="1" ht="20.100000000000001" customHeight="1" x14ac:dyDescent="0.25"/>
    <row r="123" customFormat="1" ht="20.100000000000001" customHeight="1" x14ac:dyDescent="0.25"/>
    <row r="124" customFormat="1" ht="20.100000000000001" customHeight="1" x14ac:dyDescent="0.25"/>
    <row r="125" customFormat="1" ht="20.100000000000001" customHeight="1" x14ac:dyDescent="0.25"/>
    <row r="126" customFormat="1" ht="20.100000000000001" customHeight="1" x14ac:dyDescent="0.25"/>
    <row r="127" customFormat="1" ht="20.100000000000001" customHeight="1" x14ac:dyDescent="0.25"/>
    <row r="128" customFormat="1" ht="20.100000000000001" customHeight="1" x14ac:dyDescent="0.25"/>
    <row r="129" customFormat="1" ht="20.100000000000001" customHeight="1" x14ac:dyDescent="0.25"/>
    <row r="130" customFormat="1" ht="20.100000000000001" customHeight="1" x14ac:dyDescent="0.25"/>
    <row r="131" customFormat="1" ht="20.100000000000001" customHeight="1" x14ac:dyDescent="0.25"/>
    <row r="132" customFormat="1" ht="20.100000000000001" customHeight="1" x14ac:dyDescent="0.25"/>
    <row r="133" customFormat="1" ht="20.100000000000001" customHeight="1" x14ac:dyDescent="0.25"/>
    <row r="134" customFormat="1" ht="20.100000000000001" customHeight="1" x14ac:dyDescent="0.25"/>
    <row r="135" customFormat="1" ht="20.100000000000001" customHeight="1" x14ac:dyDescent="0.25"/>
    <row r="136" customFormat="1" ht="20.100000000000001" customHeight="1" x14ac:dyDescent="0.25"/>
    <row r="137" customFormat="1" ht="20.100000000000001" customHeight="1" x14ac:dyDescent="0.25"/>
    <row r="138" customFormat="1" ht="20.100000000000001" customHeight="1" x14ac:dyDescent="0.25"/>
    <row r="139" customFormat="1" ht="20.100000000000001" customHeight="1" x14ac:dyDescent="0.25"/>
    <row r="140" customFormat="1" ht="20.100000000000001" customHeight="1" x14ac:dyDescent="0.25"/>
    <row r="141" customFormat="1" ht="20.100000000000001" customHeight="1" x14ac:dyDescent="0.25"/>
    <row r="142" customFormat="1" ht="20.100000000000001" customHeight="1" x14ac:dyDescent="0.25"/>
    <row r="143" customFormat="1" ht="20.100000000000001" customHeight="1" x14ac:dyDescent="0.25"/>
    <row r="144" customFormat="1" ht="20.100000000000001" customHeight="1" x14ac:dyDescent="0.25"/>
    <row r="145" customFormat="1" ht="20.100000000000001" customHeight="1" x14ac:dyDescent="0.25"/>
    <row r="146" customFormat="1" ht="20.100000000000001" customHeight="1" x14ac:dyDescent="0.25"/>
    <row r="147" customFormat="1" ht="20.100000000000001" customHeight="1" x14ac:dyDescent="0.25"/>
    <row r="148" customFormat="1" ht="20.100000000000001" customHeight="1" x14ac:dyDescent="0.25"/>
    <row r="149" customFormat="1" ht="20.100000000000001" customHeight="1" x14ac:dyDescent="0.25"/>
    <row r="150" customFormat="1" ht="20.100000000000001" customHeight="1" x14ac:dyDescent="0.25"/>
    <row r="151" customFormat="1" ht="20.100000000000001" customHeight="1" x14ac:dyDescent="0.25"/>
    <row r="152" customFormat="1" ht="20.100000000000001" customHeight="1" x14ac:dyDescent="0.25"/>
    <row r="153" customFormat="1" ht="20.100000000000001" customHeight="1" x14ac:dyDescent="0.25"/>
    <row r="154" customFormat="1" ht="20.100000000000001" customHeight="1" x14ac:dyDescent="0.25"/>
    <row r="155" customFormat="1" ht="20.100000000000001" customHeight="1" x14ac:dyDescent="0.25"/>
    <row r="156" customFormat="1" ht="20.100000000000001" customHeight="1" x14ac:dyDescent="0.25"/>
    <row r="157" customFormat="1" ht="20.100000000000001" customHeight="1" x14ac:dyDescent="0.25"/>
    <row r="158" customFormat="1" ht="20.100000000000001" customHeight="1" x14ac:dyDescent="0.25"/>
    <row r="159" customFormat="1" ht="20.100000000000001" customHeight="1" x14ac:dyDescent="0.25"/>
    <row r="160" customFormat="1" ht="20.100000000000001" customHeight="1" x14ac:dyDescent="0.25"/>
    <row r="161" customFormat="1" ht="20.100000000000001" customHeight="1" x14ac:dyDescent="0.25"/>
    <row r="162" customFormat="1" ht="20.100000000000001" customHeight="1" x14ac:dyDescent="0.25"/>
    <row r="163" customFormat="1" ht="20.100000000000001" customHeight="1" x14ac:dyDescent="0.25"/>
    <row r="164" customFormat="1" ht="20.100000000000001" customHeight="1" x14ac:dyDescent="0.25"/>
    <row r="165" customFormat="1" ht="20.100000000000001" customHeight="1" x14ac:dyDescent="0.25"/>
    <row r="166" customFormat="1" ht="20.100000000000001" customHeight="1" x14ac:dyDescent="0.25"/>
    <row r="167" customFormat="1" ht="20.100000000000001" customHeight="1" x14ac:dyDescent="0.25"/>
    <row r="168" customFormat="1" ht="20.100000000000001" customHeight="1" x14ac:dyDescent="0.25"/>
    <row r="169" customFormat="1" ht="20.100000000000001" customHeight="1" x14ac:dyDescent="0.25"/>
    <row r="170" customFormat="1" ht="20.100000000000001" customHeight="1" x14ac:dyDescent="0.25"/>
    <row r="171" customFormat="1" ht="20.100000000000001" customHeight="1" x14ac:dyDescent="0.25"/>
    <row r="172" customFormat="1" ht="20.100000000000001" customHeight="1" x14ac:dyDescent="0.25"/>
    <row r="173" customFormat="1" ht="20.100000000000001" customHeight="1" x14ac:dyDescent="0.25"/>
    <row r="174" customFormat="1" ht="20.100000000000001" customHeight="1" x14ac:dyDescent="0.25"/>
    <row r="175" customFormat="1" ht="20.100000000000001" customHeight="1" x14ac:dyDescent="0.25"/>
    <row r="176" customFormat="1" ht="20.100000000000001" customHeight="1" x14ac:dyDescent="0.25"/>
    <row r="177" customFormat="1" ht="20.100000000000001" customHeight="1" x14ac:dyDescent="0.25"/>
    <row r="178" customFormat="1" ht="20.100000000000001" customHeight="1" x14ac:dyDescent="0.25"/>
    <row r="179" customFormat="1" ht="20.100000000000001" customHeight="1" x14ac:dyDescent="0.25"/>
    <row r="180" customFormat="1" ht="20.100000000000001" customHeight="1" x14ac:dyDescent="0.25"/>
    <row r="181" customFormat="1" ht="20.100000000000001" customHeight="1" x14ac:dyDescent="0.25"/>
    <row r="182" customFormat="1" ht="20.100000000000001" customHeight="1" x14ac:dyDescent="0.25"/>
    <row r="183" customFormat="1" ht="20.100000000000001" customHeight="1" x14ac:dyDescent="0.25"/>
    <row r="184" customFormat="1" ht="20.100000000000001" customHeight="1" x14ac:dyDescent="0.25"/>
    <row r="185" customFormat="1" ht="20.100000000000001" customHeight="1" x14ac:dyDescent="0.25"/>
    <row r="186" customFormat="1" ht="20.100000000000001" customHeight="1" x14ac:dyDescent="0.25"/>
    <row r="187" customFormat="1" ht="20.100000000000001" customHeight="1" x14ac:dyDescent="0.25"/>
    <row r="188" customFormat="1" ht="20.100000000000001" customHeight="1" x14ac:dyDescent="0.25"/>
    <row r="189" customFormat="1" ht="20.100000000000001" customHeight="1" x14ac:dyDescent="0.25"/>
    <row r="190" customFormat="1" ht="20.100000000000001" customHeight="1" x14ac:dyDescent="0.25"/>
    <row r="191" customFormat="1" ht="20.100000000000001" customHeight="1" x14ac:dyDescent="0.25"/>
    <row r="192" customFormat="1" ht="20.100000000000001" customHeight="1" x14ac:dyDescent="0.25"/>
    <row r="193" customFormat="1" ht="20.100000000000001" customHeight="1" x14ac:dyDescent="0.25"/>
    <row r="194" customFormat="1" ht="20.100000000000001" customHeight="1" x14ac:dyDescent="0.25"/>
    <row r="195" customFormat="1" ht="20.100000000000001" customHeight="1" x14ac:dyDescent="0.25"/>
    <row r="196" customFormat="1" ht="20.100000000000001" customHeight="1" x14ac:dyDescent="0.25"/>
    <row r="197" customFormat="1" ht="20.100000000000001" customHeight="1" x14ac:dyDescent="0.25"/>
    <row r="198" customFormat="1" ht="20.100000000000001" customHeight="1" x14ac:dyDescent="0.25"/>
    <row r="199" customFormat="1" ht="20.100000000000001" customHeight="1" x14ac:dyDescent="0.25"/>
    <row r="200" customFormat="1" ht="20.100000000000001" customHeight="1" x14ac:dyDescent="0.25"/>
    <row r="201" customFormat="1" ht="20.100000000000001" customHeight="1" x14ac:dyDescent="0.25"/>
    <row r="202" customFormat="1" ht="20.100000000000001" customHeight="1" x14ac:dyDescent="0.25"/>
    <row r="203" customFormat="1" ht="20.100000000000001" customHeight="1" x14ac:dyDescent="0.25"/>
    <row r="204" customFormat="1" ht="20.100000000000001" customHeight="1" x14ac:dyDescent="0.25"/>
    <row r="205" customFormat="1" ht="20.100000000000001" customHeight="1" x14ac:dyDescent="0.25"/>
    <row r="206" customFormat="1" ht="20.100000000000001" customHeight="1" x14ac:dyDescent="0.25"/>
    <row r="207" customFormat="1" ht="20.100000000000001" customHeight="1" x14ac:dyDescent="0.25"/>
    <row r="208" customFormat="1" ht="20.100000000000001" customHeight="1" x14ac:dyDescent="0.25"/>
    <row r="209" customFormat="1" ht="20.100000000000001" customHeight="1" x14ac:dyDescent="0.25"/>
    <row r="210" customFormat="1" ht="20.100000000000001" customHeight="1" x14ac:dyDescent="0.25"/>
    <row r="211" customFormat="1" ht="20.100000000000001" customHeight="1" x14ac:dyDescent="0.25"/>
    <row r="212" customFormat="1" ht="20.100000000000001" customHeight="1" x14ac:dyDescent="0.25"/>
    <row r="213" customFormat="1" ht="20.100000000000001" customHeight="1" x14ac:dyDescent="0.25"/>
    <row r="214" customFormat="1" ht="20.100000000000001" customHeight="1" x14ac:dyDescent="0.25"/>
    <row r="215" customFormat="1" ht="20.100000000000001" customHeight="1" x14ac:dyDescent="0.25"/>
    <row r="216" customFormat="1" ht="20.100000000000001" customHeight="1" x14ac:dyDescent="0.25"/>
    <row r="217" customFormat="1" ht="20.100000000000001" customHeight="1" x14ac:dyDescent="0.25"/>
    <row r="218" customFormat="1" ht="20.100000000000001" customHeight="1" x14ac:dyDescent="0.25"/>
    <row r="219" customFormat="1" ht="20.100000000000001" customHeight="1" x14ac:dyDescent="0.25"/>
    <row r="220" customFormat="1" ht="20.100000000000001" customHeight="1" x14ac:dyDescent="0.25"/>
    <row r="221" customFormat="1" ht="20.100000000000001" customHeight="1" x14ac:dyDescent="0.25"/>
    <row r="222" customFormat="1" ht="20.100000000000001" customHeight="1" x14ac:dyDescent="0.25"/>
    <row r="223" customFormat="1" ht="20.100000000000001" customHeight="1" x14ac:dyDescent="0.25"/>
    <row r="224" customFormat="1" ht="20.100000000000001" customHeight="1" x14ac:dyDescent="0.25"/>
    <row r="225" customFormat="1" ht="20.100000000000001" customHeight="1" x14ac:dyDescent="0.25"/>
    <row r="226" customFormat="1" ht="20.100000000000001" customHeight="1" x14ac:dyDescent="0.25"/>
    <row r="227" customFormat="1" ht="20.100000000000001" customHeight="1" x14ac:dyDescent="0.25"/>
    <row r="228" customFormat="1" ht="20.100000000000001" customHeight="1" x14ac:dyDescent="0.25"/>
    <row r="229" customFormat="1" ht="20.100000000000001" customHeight="1" x14ac:dyDescent="0.25"/>
    <row r="230" customFormat="1" ht="20.100000000000001" customHeight="1" x14ac:dyDescent="0.25"/>
    <row r="231" customFormat="1" ht="20.100000000000001" customHeight="1" x14ac:dyDescent="0.25"/>
    <row r="232" customFormat="1" ht="20.100000000000001" customHeight="1" x14ac:dyDescent="0.25"/>
    <row r="233" customFormat="1" ht="20.100000000000001" customHeight="1" x14ac:dyDescent="0.25"/>
    <row r="234" customFormat="1" ht="20.100000000000001" customHeight="1" x14ac:dyDescent="0.25"/>
    <row r="235" customFormat="1" ht="20.100000000000001" customHeight="1" x14ac:dyDescent="0.25"/>
    <row r="236" customFormat="1" ht="20.100000000000001" customHeight="1" x14ac:dyDescent="0.25"/>
    <row r="237" customFormat="1" ht="20.100000000000001" customHeight="1" x14ac:dyDescent="0.25"/>
    <row r="238" customFormat="1" ht="20.100000000000001" customHeight="1" x14ac:dyDescent="0.25"/>
    <row r="239" customFormat="1" ht="20.100000000000001" customHeight="1" x14ac:dyDescent="0.25"/>
    <row r="240" customFormat="1" ht="20.100000000000001" customHeight="1" x14ac:dyDescent="0.25"/>
    <row r="241" customFormat="1" ht="20.100000000000001" customHeight="1" x14ac:dyDescent="0.25"/>
    <row r="242" customFormat="1" ht="20.100000000000001" customHeight="1" x14ac:dyDescent="0.25"/>
    <row r="243" customFormat="1" ht="20.100000000000001" customHeight="1" x14ac:dyDescent="0.25"/>
    <row r="244" customFormat="1" ht="20.100000000000001" customHeight="1" x14ac:dyDescent="0.25"/>
    <row r="245" customFormat="1" ht="20.100000000000001" customHeight="1" x14ac:dyDescent="0.25"/>
    <row r="246" customFormat="1" ht="20.100000000000001" customHeight="1" x14ac:dyDescent="0.25"/>
    <row r="247" customFormat="1" ht="20.100000000000001" customHeight="1" x14ac:dyDescent="0.25"/>
    <row r="248" customFormat="1" ht="20.100000000000001" customHeight="1" x14ac:dyDescent="0.25"/>
    <row r="249" customFormat="1" ht="20.100000000000001" customHeight="1" x14ac:dyDescent="0.25"/>
    <row r="250" customFormat="1" ht="20.100000000000001" customHeight="1" x14ac:dyDescent="0.25"/>
    <row r="251" customFormat="1" ht="20.100000000000001" customHeight="1" x14ac:dyDescent="0.25"/>
    <row r="252" customFormat="1" ht="20.100000000000001" customHeight="1" x14ac:dyDescent="0.25"/>
    <row r="253" customFormat="1" ht="20.100000000000001" customHeight="1" x14ac:dyDescent="0.25"/>
    <row r="254" customFormat="1" ht="20.100000000000001" customHeight="1" x14ac:dyDescent="0.25"/>
    <row r="255" customFormat="1" ht="20.100000000000001" customHeight="1" x14ac:dyDescent="0.25"/>
    <row r="256" customFormat="1" ht="20.100000000000001" customHeight="1" x14ac:dyDescent="0.25"/>
    <row r="257" customFormat="1" ht="20.100000000000001" customHeight="1" x14ac:dyDescent="0.25"/>
    <row r="258" customFormat="1" ht="20.100000000000001" customHeight="1" x14ac:dyDescent="0.25"/>
    <row r="259" customFormat="1" ht="20.100000000000001" customHeight="1" x14ac:dyDescent="0.25"/>
    <row r="260" customFormat="1" ht="20.100000000000001" customHeight="1" x14ac:dyDescent="0.25"/>
    <row r="261" customFormat="1" ht="20.100000000000001" customHeight="1" x14ac:dyDescent="0.25"/>
    <row r="262" customFormat="1" ht="20.100000000000001" customHeight="1" x14ac:dyDescent="0.25"/>
    <row r="263" customFormat="1" ht="20.100000000000001" customHeight="1" x14ac:dyDescent="0.25"/>
    <row r="264" customFormat="1" ht="20.100000000000001" customHeight="1" x14ac:dyDescent="0.25"/>
    <row r="265" customFormat="1" ht="20.100000000000001" customHeight="1" x14ac:dyDescent="0.25"/>
    <row r="266" customFormat="1" ht="20.100000000000001" customHeight="1" x14ac:dyDescent="0.25"/>
    <row r="267" customFormat="1" ht="20.100000000000001" customHeight="1" x14ac:dyDescent="0.25"/>
    <row r="268" customFormat="1" ht="20.100000000000001" customHeight="1" x14ac:dyDescent="0.25"/>
    <row r="269" customFormat="1" ht="20.100000000000001" customHeight="1" x14ac:dyDescent="0.25"/>
    <row r="270" customFormat="1" ht="20.100000000000001" customHeight="1" x14ac:dyDescent="0.25"/>
    <row r="271" customFormat="1" ht="20.100000000000001" customHeight="1" x14ac:dyDescent="0.25"/>
    <row r="272" customFormat="1" ht="20.100000000000001" customHeight="1" x14ac:dyDescent="0.25"/>
    <row r="273" customFormat="1" ht="20.100000000000001" customHeight="1" x14ac:dyDescent="0.25"/>
    <row r="274" customFormat="1" ht="20.100000000000001" customHeight="1" x14ac:dyDescent="0.25"/>
    <row r="275" customFormat="1" ht="20.100000000000001" customHeight="1" x14ac:dyDescent="0.25"/>
    <row r="276" customFormat="1" ht="20.100000000000001" customHeight="1" x14ac:dyDescent="0.25"/>
    <row r="277" customFormat="1" ht="20.100000000000001" customHeight="1" x14ac:dyDescent="0.25"/>
    <row r="278" customFormat="1" ht="20.100000000000001" customHeight="1" x14ac:dyDescent="0.25"/>
    <row r="279" customFormat="1" ht="20.100000000000001" customHeight="1" x14ac:dyDescent="0.25"/>
    <row r="280" customFormat="1" ht="20.100000000000001" customHeight="1" x14ac:dyDescent="0.25"/>
    <row r="281" customFormat="1" ht="20.100000000000001" customHeight="1" x14ac:dyDescent="0.25"/>
    <row r="282" customFormat="1" ht="20.100000000000001" customHeight="1" x14ac:dyDescent="0.25"/>
    <row r="283" customFormat="1" ht="20.100000000000001" customHeight="1" x14ac:dyDescent="0.25"/>
    <row r="284" customFormat="1" ht="20.100000000000001" customHeight="1" x14ac:dyDescent="0.25"/>
    <row r="285" customFormat="1" ht="20.100000000000001" customHeight="1" x14ac:dyDescent="0.25"/>
    <row r="286" customFormat="1" ht="20.100000000000001" customHeight="1" x14ac:dyDescent="0.25"/>
    <row r="287" customFormat="1" ht="20.100000000000001" customHeight="1" x14ac:dyDescent="0.25"/>
    <row r="288" customFormat="1" ht="20.100000000000001" customHeight="1" x14ac:dyDescent="0.25"/>
    <row r="289" customFormat="1" ht="20.100000000000001" customHeight="1" x14ac:dyDescent="0.25"/>
    <row r="290" customFormat="1" ht="20.100000000000001" customHeight="1" x14ac:dyDescent="0.25"/>
    <row r="291" customFormat="1" ht="20.100000000000001" customHeight="1" x14ac:dyDescent="0.25"/>
    <row r="292" customFormat="1" ht="20.100000000000001" customHeight="1" x14ac:dyDescent="0.25"/>
    <row r="293" customFormat="1" ht="20.100000000000001" customHeight="1" x14ac:dyDescent="0.25"/>
    <row r="294" customFormat="1" ht="20.100000000000001" customHeight="1" x14ac:dyDescent="0.25"/>
    <row r="295" customFormat="1" ht="20.100000000000001" customHeight="1" x14ac:dyDescent="0.25"/>
    <row r="296" customFormat="1" ht="20.100000000000001" customHeight="1" x14ac:dyDescent="0.25"/>
    <row r="297" customFormat="1" ht="20.100000000000001" customHeight="1" x14ac:dyDescent="0.25"/>
    <row r="298" customFormat="1" ht="20.100000000000001" customHeight="1" x14ac:dyDescent="0.25"/>
    <row r="299" customFormat="1" ht="20.100000000000001" customHeight="1" x14ac:dyDescent="0.25"/>
    <row r="300" customFormat="1" ht="20.100000000000001" customHeight="1" x14ac:dyDescent="0.25"/>
    <row r="301" customFormat="1" ht="20.100000000000001" customHeight="1" x14ac:dyDescent="0.25"/>
    <row r="302" customFormat="1" ht="20.100000000000001" customHeight="1" x14ac:dyDescent="0.25"/>
    <row r="303" customFormat="1" ht="20.100000000000001" customHeight="1" x14ac:dyDescent="0.25"/>
    <row r="304" customFormat="1" ht="20.100000000000001" customHeight="1" x14ac:dyDescent="0.25"/>
    <row r="305" customFormat="1" ht="20.100000000000001" customHeight="1" x14ac:dyDescent="0.25"/>
    <row r="306" customFormat="1" ht="20.100000000000001" customHeight="1" x14ac:dyDescent="0.25"/>
    <row r="307" customFormat="1" ht="20.100000000000001" customHeight="1" x14ac:dyDescent="0.25"/>
    <row r="308" customFormat="1" ht="20.100000000000001" customHeight="1" x14ac:dyDescent="0.25"/>
    <row r="309" customFormat="1" ht="20.100000000000001" customHeight="1" x14ac:dyDescent="0.25"/>
    <row r="310" customFormat="1" ht="20.100000000000001" customHeight="1" x14ac:dyDescent="0.25"/>
    <row r="311" customFormat="1" ht="20.100000000000001" customHeight="1" x14ac:dyDescent="0.25"/>
    <row r="312" customFormat="1" ht="20.100000000000001" customHeight="1" x14ac:dyDescent="0.25"/>
    <row r="313" customFormat="1" ht="20.100000000000001" customHeight="1" x14ac:dyDescent="0.25"/>
    <row r="314" customFormat="1" ht="20.100000000000001" customHeight="1" x14ac:dyDescent="0.25"/>
    <row r="315" customFormat="1" ht="20.100000000000001" customHeight="1" x14ac:dyDescent="0.25"/>
    <row r="316" customFormat="1" ht="20.100000000000001" customHeight="1" x14ac:dyDescent="0.25"/>
    <row r="317" customFormat="1" ht="20.100000000000001" customHeight="1" x14ac:dyDescent="0.25"/>
    <row r="318" customFormat="1" ht="20.100000000000001" customHeight="1" x14ac:dyDescent="0.25"/>
    <row r="319" customFormat="1" ht="20.100000000000001" customHeight="1" x14ac:dyDescent="0.25"/>
    <row r="320" customFormat="1" ht="20.100000000000001" customHeight="1" x14ac:dyDescent="0.25"/>
    <row r="321" customFormat="1" ht="20.100000000000001" customHeight="1" x14ac:dyDescent="0.25"/>
    <row r="322" customFormat="1" ht="20.100000000000001" customHeight="1" x14ac:dyDescent="0.25"/>
    <row r="323" customFormat="1" ht="20.100000000000001" customHeight="1" x14ac:dyDescent="0.25"/>
    <row r="324" customFormat="1" ht="20.100000000000001" customHeight="1" x14ac:dyDescent="0.25"/>
    <row r="325" customFormat="1" ht="20.100000000000001" customHeight="1" x14ac:dyDescent="0.25"/>
    <row r="326" customFormat="1" ht="20.100000000000001" customHeight="1" x14ac:dyDescent="0.25"/>
    <row r="327" customFormat="1" ht="20.100000000000001" customHeight="1" x14ac:dyDescent="0.25"/>
    <row r="328" customFormat="1" ht="20.100000000000001" customHeight="1" x14ac:dyDescent="0.25"/>
    <row r="329" customFormat="1" ht="20.100000000000001" customHeight="1" x14ac:dyDescent="0.25"/>
    <row r="330" customFormat="1" ht="20.100000000000001" customHeight="1" x14ac:dyDescent="0.25"/>
    <row r="331" customFormat="1" ht="20.100000000000001" customHeight="1" x14ac:dyDescent="0.25"/>
    <row r="332" customFormat="1" ht="20.100000000000001" customHeight="1" x14ac:dyDescent="0.25"/>
    <row r="333" customFormat="1" ht="20.100000000000001" customHeight="1" x14ac:dyDescent="0.25"/>
    <row r="334" customFormat="1" ht="20.100000000000001" customHeight="1" x14ac:dyDescent="0.25"/>
    <row r="335" customFormat="1" ht="20.100000000000001" customHeight="1" x14ac:dyDescent="0.25"/>
    <row r="336" customFormat="1" ht="20.100000000000001" customHeight="1" x14ac:dyDescent="0.25"/>
    <row r="337" customFormat="1" ht="20.100000000000001" customHeight="1" x14ac:dyDescent="0.25"/>
    <row r="338" customFormat="1" ht="20.100000000000001" customHeight="1" x14ac:dyDescent="0.25"/>
    <row r="339" customFormat="1" ht="20.100000000000001" customHeight="1" x14ac:dyDescent="0.25"/>
    <row r="340" customFormat="1" ht="20.100000000000001" customHeight="1" x14ac:dyDescent="0.25"/>
    <row r="341" customFormat="1" ht="20.100000000000001" customHeight="1" x14ac:dyDescent="0.25"/>
    <row r="342" customFormat="1" ht="20.100000000000001" customHeight="1" x14ac:dyDescent="0.25"/>
    <row r="343" customFormat="1" ht="20.100000000000001" customHeight="1" x14ac:dyDescent="0.25"/>
    <row r="344" customFormat="1" ht="20.100000000000001" customHeight="1" x14ac:dyDescent="0.25"/>
    <row r="345" customFormat="1" ht="20.100000000000001" customHeight="1" x14ac:dyDescent="0.25"/>
    <row r="346" customFormat="1" ht="20.100000000000001" customHeight="1" x14ac:dyDescent="0.25"/>
    <row r="347" customFormat="1" ht="20.100000000000001" customHeight="1" x14ac:dyDescent="0.25"/>
    <row r="348" customFormat="1" ht="20.100000000000001" customHeight="1" x14ac:dyDescent="0.25"/>
    <row r="349" customFormat="1" ht="20.100000000000001" customHeight="1" x14ac:dyDescent="0.25"/>
    <row r="350" customFormat="1" ht="20.100000000000001" customHeight="1" x14ac:dyDescent="0.25"/>
    <row r="351" customFormat="1" ht="20.100000000000001" customHeight="1" x14ac:dyDescent="0.25"/>
    <row r="352" customFormat="1" ht="20.100000000000001" customHeight="1" x14ac:dyDescent="0.25"/>
    <row r="353" customFormat="1" ht="20.100000000000001" customHeight="1" x14ac:dyDescent="0.25"/>
    <row r="354" customFormat="1" ht="20.100000000000001" customHeight="1" x14ac:dyDescent="0.25"/>
    <row r="355" customFormat="1" ht="20.100000000000001" customHeight="1" x14ac:dyDescent="0.25"/>
    <row r="356" customFormat="1" ht="20.100000000000001" customHeight="1" x14ac:dyDescent="0.25"/>
    <row r="357" customFormat="1" ht="20.100000000000001" customHeight="1" x14ac:dyDescent="0.25"/>
    <row r="358" customFormat="1" ht="20.100000000000001" customHeight="1" x14ac:dyDescent="0.25"/>
    <row r="359" customFormat="1" ht="20.100000000000001" customHeight="1" x14ac:dyDescent="0.25"/>
    <row r="360" customFormat="1" ht="20.100000000000001" customHeight="1" x14ac:dyDescent="0.25"/>
    <row r="361" customFormat="1" ht="20.100000000000001" customHeight="1" x14ac:dyDescent="0.25"/>
    <row r="362" customFormat="1" ht="20.100000000000001" customHeight="1" x14ac:dyDescent="0.25"/>
    <row r="363" customFormat="1" ht="20.100000000000001" customHeight="1" x14ac:dyDescent="0.25"/>
    <row r="364" customFormat="1" ht="20.100000000000001" customHeight="1" x14ac:dyDescent="0.25"/>
    <row r="365" customFormat="1" ht="20.100000000000001" customHeight="1" x14ac:dyDescent="0.25"/>
    <row r="366" customFormat="1" ht="20.100000000000001" customHeight="1" x14ac:dyDescent="0.25"/>
    <row r="367" customFormat="1" ht="20.100000000000001" customHeight="1" x14ac:dyDescent="0.25"/>
    <row r="368" customFormat="1" ht="20.100000000000001" customHeight="1" x14ac:dyDescent="0.25"/>
    <row r="369" customFormat="1" ht="20.100000000000001" customHeight="1" x14ac:dyDescent="0.25"/>
    <row r="370" customFormat="1" ht="20.100000000000001" customHeight="1" x14ac:dyDescent="0.25"/>
    <row r="371" customFormat="1" ht="20.100000000000001" customHeight="1" x14ac:dyDescent="0.25"/>
    <row r="372" customFormat="1" ht="20.100000000000001" customHeight="1" x14ac:dyDescent="0.25"/>
    <row r="373" customFormat="1" ht="20.100000000000001" customHeight="1" x14ac:dyDescent="0.25"/>
    <row r="374" customFormat="1" ht="20.100000000000001" customHeight="1" x14ac:dyDescent="0.25"/>
    <row r="375" customFormat="1" ht="20.100000000000001" customHeight="1" x14ac:dyDescent="0.25"/>
    <row r="376" customFormat="1" ht="20.100000000000001" customHeight="1" x14ac:dyDescent="0.25"/>
    <row r="377" customFormat="1" ht="20.100000000000001" customHeight="1" x14ac:dyDescent="0.25"/>
    <row r="378" customFormat="1" ht="20.100000000000001" customHeight="1" x14ac:dyDescent="0.25"/>
    <row r="379" customFormat="1" ht="20.100000000000001" customHeight="1" x14ac:dyDescent="0.25"/>
    <row r="380" customFormat="1" ht="20.100000000000001" customHeight="1" x14ac:dyDescent="0.25"/>
    <row r="381" customFormat="1" ht="20.100000000000001" customHeight="1" x14ac:dyDescent="0.25"/>
    <row r="382" customFormat="1" ht="20.100000000000001" customHeight="1" x14ac:dyDescent="0.25"/>
    <row r="383" customFormat="1" ht="20.100000000000001" customHeight="1" x14ac:dyDescent="0.25"/>
    <row r="384" customFormat="1" ht="20.100000000000001" customHeight="1" x14ac:dyDescent="0.25"/>
    <row r="385" customFormat="1" ht="20.100000000000001" customHeight="1" x14ac:dyDescent="0.25"/>
    <row r="386" customFormat="1" ht="20.100000000000001" customHeight="1" x14ac:dyDescent="0.25"/>
    <row r="387" customFormat="1" ht="20.100000000000001" customHeight="1" x14ac:dyDescent="0.25"/>
    <row r="388" customFormat="1" ht="20.100000000000001" customHeight="1" x14ac:dyDescent="0.25"/>
    <row r="389" customFormat="1" ht="20.100000000000001" customHeight="1" x14ac:dyDescent="0.25"/>
    <row r="390" customFormat="1" ht="20.100000000000001" customHeight="1" x14ac:dyDescent="0.25"/>
    <row r="391" customFormat="1" ht="20.100000000000001" customHeight="1" x14ac:dyDescent="0.25"/>
    <row r="392" customFormat="1" ht="20.100000000000001" customHeight="1" x14ac:dyDescent="0.25"/>
    <row r="393" customFormat="1" ht="20.100000000000001" customHeight="1" x14ac:dyDescent="0.25"/>
    <row r="394" customFormat="1" ht="20.100000000000001" customHeight="1" x14ac:dyDescent="0.25"/>
    <row r="395" customFormat="1" ht="20.100000000000001" customHeight="1" x14ac:dyDescent="0.25"/>
    <row r="396" customFormat="1" ht="20.100000000000001" customHeight="1" x14ac:dyDescent="0.25"/>
    <row r="397" customFormat="1" ht="20.100000000000001" customHeight="1" x14ac:dyDescent="0.25"/>
    <row r="398" customFormat="1" ht="20.100000000000001" customHeight="1" x14ac:dyDescent="0.25"/>
    <row r="399" customFormat="1" ht="20.100000000000001" customHeight="1" x14ac:dyDescent="0.25"/>
    <row r="400" customFormat="1" ht="20.100000000000001" customHeight="1" x14ac:dyDescent="0.25"/>
    <row r="401" customFormat="1" ht="20.100000000000001" customHeight="1" x14ac:dyDescent="0.25"/>
    <row r="402" customFormat="1" ht="20.100000000000001" customHeight="1" x14ac:dyDescent="0.25"/>
    <row r="403" customFormat="1" ht="20.100000000000001" customHeight="1" x14ac:dyDescent="0.25"/>
    <row r="404" customFormat="1" ht="20.100000000000001" customHeight="1" x14ac:dyDescent="0.25"/>
    <row r="405" customFormat="1" ht="20.100000000000001" customHeight="1" x14ac:dyDescent="0.25"/>
    <row r="406" customFormat="1" ht="20.100000000000001" customHeight="1" x14ac:dyDescent="0.25"/>
    <row r="407" customFormat="1" ht="20.100000000000001" customHeight="1" x14ac:dyDescent="0.25"/>
    <row r="408" customFormat="1" ht="20.100000000000001" customHeight="1" x14ac:dyDescent="0.25"/>
    <row r="409" customFormat="1" ht="20.100000000000001" customHeight="1" x14ac:dyDescent="0.25"/>
    <row r="410" customFormat="1" ht="20.100000000000001" customHeight="1" x14ac:dyDescent="0.25"/>
    <row r="411" customFormat="1" ht="20.100000000000001" customHeight="1" x14ac:dyDescent="0.25"/>
    <row r="412" customFormat="1" ht="20.100000000000001" customHeight="1" x14ac:dyDescent="0.25"/>
    <row r="413" customFormat="1" ht="20.100000000000001" customHeight="1" x14ac:dyDescent="0.25"/>
    <row r="414" customFormat="1" ht="20.100000000000001" customHeight="1" x14ac:dyDescent="0.25"/>
    <row r="415" customFormat="1" ht="20.100000000000001" customHeight="1" x14ac:dyDescent="0.25"/>
    <row r="416" customFormat="1" ht="20.100000000000001" customHeight="1" x14ac:dyDescent="0.25"/>
    <row r="417" customFormat="1" ht="20.100000000000001" customHeight="1" x14ac:dyDescent="0.25"/>
    <row r="418" customFormat="1" ht="20.100000000000001" customHeight="1" x14ac:dyDescent="0.25"/>
    <row r="419" customFormat="1" ht="20.100000000000001" customHeight="1" x14ac:dyDescent="0.25"/>
    <row r="420" customFormat="1" ht="20.100000000000001" customHeight="1" x14ac:dyDescent="0.25"/>
    <row r="421" customFormat="1" ht="20.100000000000001" customHeight="1" x14ac:dyDescent="0.25"/>
    <row r="422" customFormat="1" ht="20.100000000000001" customHeight="1" x14ac:dyDescent="0.25"/>
    <row r="423" customFormat="1" ht="20.100000000000001" customHeight="1" x14ac:dyDescent="0.25"/>
    <row r="424" customFormat="1" ht="20.100000000000001" customHeight="1" x14ac:dyDescent="0.25"/>
    <row r="425" customFormat="1" ht="20.100000000000001" customHeight="1" x14ac:dyDescent="0.25"/>
    <row r="426" customFormat="1" ht="20.100000000000001" customHeight="1" x14ac:dyDescent="0.25"/>
    <row r="427" customFormat="1" ht="20.100000000000001" customHeight="1" x14ac:dyDescent="0.25"/>
    <row r="428" customFormat="1" ht="20.100000000000001" customHeight="1" x14ac:dyDescent="0.25"/>
    <row r="429" customFormat="1" ht="20.100000000000001" customHeight="1" x14ac:dyDescent="0.25"/>
    <row r="430" customFormat="1" ht="20.100000000000001" customHeight="1" x14ac:dyDescent="0.25"/>
    <row r="431" customFormat="1" ht="20.100000000000001" customHeight="1" x14ac:dyDescent="0.25"/>
    <row r="432" customFormat="1" ht="20.100000000000001" customHeight="1" x14ac:dyDescent="0.25"/>
    <row r="433" customFormat="1" ht="20.100000000000001" customHeight="1" x14ac:dyDescent="0.25"/>
    <row r="434" customFormat="1" ht="20.100000000000001" customHeight="1" x14ac:dyDescent="0.25"/>
    <row r="435" customFormat="1" ht="20.100000000000001" customHeight="1" x14ac:dyDescent="0.25"/>
    <row r="436" customFormat="1" ht="20.100000000000001" customHeight="1" x14ac:dyDescent="0.25"/>
    <row r="437" customFormat="1" ht="20.100000000000001" customHeight="1" x14ac:dyDescent="0.25"/>
    <row r="438" customFormat="1" ht="20.100000000000001" customHeight="1" x14ac:dyDescent="0.25"/>
    <row r="439" customFormat="1" ht="20.100000000000001" customHeight="1" x14ac:dyDescent="0.25"/>
    <row r="440" customFormat="1" ht="20.100000000000001" customHeight="1" x14ac:dyDescent="0.25"/>
    <row r="441" customFormat="1" ht="20.100000000000001" customHeight="1" x14ac:dyDescent="0.25"/>
    <row r="442" customFormat="1" ht="20.100000000000001" customHeight="1" x14ac:dyDescent="0.25"/>
    <row r="443" customFormat="1" ht="20.100000000000001" customHeight="1" x14ac:dyDescent="0.25"/>
    <row r="444" customFormat="1" ht="20.100000000000001" customHeight="1" x14ac:dyDescent="0.25"/>
    <row r="445" customFormat="1" ht="20.100000000000001" customHeight="1" x14ac:dyDescent="0.25"/>
    <row r="446" customFormat="1" ht="20.100000000000001" customHeight="1" x14ac:dyDescent="0.25"/>
    <row r="447" customFormat="1" ht="20.100000000000001" customHeight="1" x14ac:dyDescent="0.25"/>
    <row r="448" customFormat="1" ht="20.100000000000001" customHeight="1" x14ac:dyDescent="0.25"/>
    <row r="449" customFormat="1" ht="20.100000000000001" customHeight="1" x14ac:dyDescent="0.25"/>
    <row r="450" customFormat="1" ht="20.100000000000001" customHeight="1" x14ac:dyDescent="0.25"/>
    <row r="451" customFormat="1" ht="20.100000000000001" customHeight="1" x14ac:dyDescent="0.25"/>
    <row r="452" customFormat="1" ht="20.100000000000001" customHeight="1" x14ac:dyDescent="0.25"/>
    <row r="453" customFormat="1" ht="20.100000000000001" customHeight="1" x14ac:dyDescent="0.25"/>
    <row r="454" customFormat="1" ht="20.100000000000001" customHeight="1" x14ac:dyDescent="0.25"/>
    <row r="455" customFormat="1" ht="20.100000000000001" customHeight="1" x14ac:dyDescent="0.25"/>
    <row r="456" customFormat="1" ht="20.100000000000001" customHeight="1" x14ac:dyDescent="0.25"/>
    <row r="457" customFormat="1" ht="20.100000000000001" customHeight="1" x14ac:dyDescent="0.25"/>
    <row r="458" customFormat="1" ht="20.100000000000001" customHeight="1" x14ac:dyDescent="0.25"/>
    <row r="459" customFormat="1" ht="20.100000000000001" customHeight="1" x14ac:dyDescent="0.25"/>
    <row r="460" customFormat="1" ht="20.100000000000001" customHeight="1" x14ac:dyDescent="0.25"/>
    <row r="461" customFormat="1" ht="20.100000000000001" customHeight="1" x14ac:dyDescent="0.25"/>
    <row r="462" customFormat="1" ht="20.100000000000001" customHeight="1" x14ac:dyDescent="0.25"/>
    <row r="463" customFormat="1" ht="20.100000000000001" customHeight="1" x14ac:dyDescent="0.25"/>
    <row r="464" customFormat="1" ht="20.100000000000001" customHeight="1" x14ac:dyDescent="0.25"/>
    <row r="465" customFormat="1" ht="20.100000000000001" customHeight="1" x14ac:dyDescent="0.25"/>
    <row r="466" customFormat="1" ht="20.100000000000001" customHeight="1" x14ac:dyDescent="0.25"/>
    <row r="467" customFormat="1" ht="20.100000000000001" customHeight="1" x14ac:dyDescent="0.25"/>
    <row r="468" customFormat="1" ht="20.100000000000001" customHeight="1" x14ac:dyDescent="0.25"/>
    <row r="469" customFormat="1" ht="20.100000000000001" customHeight="1" x14ac:dyDescent="0.25"/>
    <row r="470" customFormat="1" ht="20.100000000000001" customHeight="1" x14ac:dyDescent="0.25"/>
    <row r="471" customFormat="1" ht="20.100000000000001" customHeight="1" x14ac:dyDescent="0.25"/>
    <row r="472" customFormat="1" ht="20.100000000000001" customHeight="1" x14ac:dyDescent="0.25"/>
    <row r="473" customFormat="1" ht="20.100000000000001" customHeight="1" x14ac:dyDescent="0.25"/>
    <row r="474" customFormat="1" ht="20.100000000000001" customHeight="1" x14ac:dyDescent="0.25"/>
    <row r="475" customFormat="1" ht="20.100000000000001" customHeight="1" x14ac:dyDescent="0.25"/>
    <row r="476" customFormat="1" ht="20.100000000000001" customHeight="1" x14ac:dyDescent="0.25"/>
    <row r="477" customFormat="1" ht="20.100000000000001" customHeight="1" x14ac:dyDescent="0.25"/>
    <row r="478" customFormat="1" ht="20.100000000000001" customHeight="1" x14ac:dyDescent="0.25"/>
    <row r="479" customFormat="1" ht="20.100000000000001" customHeight="1" x14ac:dyDescent="0.25"/>
    <row r="480" customFormat="1" ht="20.100000000000001" customHeight="1" x14ac:dyDescent="0.25"/>
    <row r="481" customFormat="1" ht="20.100000000000001" customHeight="1" x14ac:dyDescent="0.25"/>
    <row r="482" customFormat="1" ht="20.100000000000001" customHeight="1" x14ac:dyDescent="0.25"/>
    <row r="483" customFormat="1" ht="20.100000000000001" customHeight="1" x14ac:dyDescent="0.25"/>
    <row r="484" customFormat="1" ht="20.100000000000001" customHeight="1" x14ac:dyDescent="0.25"/>
    <row r="485" customFormat="1" ht="20.100000000000001" customHeight="1" x14ac:dyDescent="0.25"/>
    <row r="486" customFormat="1" ht="20.100000000000001" customHeight="1" x14ac:dyDescent="0.25"/>
    <row r="487" customFormat="1" ht="20.100000000000001" customHeight="1" x14ac:dyDescent="0.25"/>
    <row r="488" customFormat="1" ht="20.100000000000001" customHeight="1" x14ac:dyDescent="0.25"/>
    <row r="489" customFormat="1" ht="20.100000000000001" customHeight="1" x14ac:dyDescent="0.25"/>
    <row r="490" customFormat="1" ht="20.100000000000001" customHeight="1" x14ac:dyDescent="0.25"/>
    <row r="491" customFormat="1" ht="20.100000000000001" customHeight="1" x14ac:dyDescent="0.25"/>
    <row r="492" customFormat="1" ht="20.100000000000001" customHeight="1" x14ac:dyDescent="0.25"/>
    <row r="493" customFormat="1" ht="20.100000000000001" customHeight="1" x14ac:dyDescent="0.25"/>
    <row r="494" customFormat="1" ht="20.100000000000001" customHeight="1" x14ac:dyDescent="0.25"/>
    <row r="495" customFormat="1" ht="20.100000000000001" customHeight="1" x14ac:dyDescent="0.25"/>
    <row r="496" customFormat="1" ht="20.100000000000001" customHeight="1" x14ac:dyDescent="0.25"/>
    <row r="497" customFormat="1" ht="20.100000000000001" customHeight="1" x14ac:dyDescent="0.25"/>
    <row r="498" customFormat="1" ht="20.100000000000001" customHeight="1" x14ac:dyDescent="0.25"/>
    <row r="499" customFormat="1" ht="20.100000000000001" customHeight="1" x14ac:dyDescent="0.25"/>
    <row r="500" customFormat="1" ht="20.100000000000001" customHeight="1" x14ac:dyDescent="0.25"/>
    <row r="501" customFormat="1" ht="20.100000000000001" customHeight="1" x14ac:dyDescent="0.25"/>
    <row r="502" customFormat="1" ht="20.100000000000001" customHeight="1" x14ac:dyDescent="0.25"/>
    <row r="503" customFormat="1" ht="20.100000000000001" customHeight="1" x14ac:dyDescent="0.25"/>
    <row r="504" customFormat="1" ht="20.100000000000001" customHeight="1" x14ac:dyDescent="0.25"/>
    <row r="505" customFormat="1" ht="20.100000000000001" customHeight="1" x14ac:dyDescent="0.25"/>
    <row r="506" customFormat="1" ht="20.100000000000001" customHeight="1" x14ac:dyDescent="0.25"/>
    <row r="507" customFormat="1" ht="20.100000000000001" customHeight="1" x14ac:dyDescent="0.25"/>
    <row r="508" customFormat="1" ht="20.100000000000001" customHeight="1" x14ac:dyDescent="0.25"/>
    <row r="509" customFormat="1" ht="20.100000000000001" customHeight="1" x14ac:dyDescent="0.25"/>
    <row r="510" customFormat="1" ht="20.100000000000001" customHeight="1" x14ac:dyDescent="0.25"/>
    <row r="511" customFormat="1" ht="20.100000000000001" customHeight="1" x14ac:dyDescent="0.25"/>
    <row r="512" customFormat="1" ht="20.100000000000001" customHeight="1" x14ac:dyDescent="0.25"/>
    <row r="513" customFormat="1" ht="20.100000000000001" customHeight="1" x14ac:dyDescent="0.25"/>
    <row r="514" customFormat="1" ht="20.100000000000001" customHeight="1" x14ac:dyDescent="0.25"/>
    <row r="515" customFormat="1" ht="20.100000000000001" customHeight="1" x14ac:dyDescent="0.25"/>
    <row r="516" customFormat="1" ht="20.100000000000001" customHeight="1" x14ac:dyDescent="0.25"/>
    <row r="517" customFormat="1" ht="20.100000000000001" customHeight="1" x14ac:dyDescent="0.25"/>
    <row r="518" customFormat="1" ht="20.100000000000001" customHeight="1" x14ac:dyDescent="0.25"/>
    <row r="519" customFormat="1" ht="20.100000000000001" customHeight="1" x14ac:dyDescent="0.25"/>
    <row r="520" customFormat="1" ht="20.100000000000001" customHeight="1" x14ac:dyDescent="0.25"/>
    <row r="521" customFormat="1" ht="20.100000000000001" customHeight="1" x14ac:dyDescent="0.25"/>
    <row r="522" customFormat="1" ht="20.100000000000001" customHeight="1" x14ac:dyDescent="0.25"/>
    <row r="523" customFormat="1" ht="20.100000000000001" customHeight="1" x14ac:dyDescent="0.25"/>
    <row r="524" customFormat="1" ht="20.100000000000001" customHeight="1" x14ac:dyDescent="0.25"/>
    <row r="525" customFormat="1" ht="20.100000000000001" customHeight="1" x14ac:dyDescent="0.25"/>
    <row r="526" customFormat="1" ht="20.100000000000001" customHeight="1" x14ac:dyDescent="0.25"/>
    <row r="527" customFormat="1" ht="20.100000000000001" customHeight="1" x14ac:dyDescent="0.25"/>
    <row r="528" customFormat="1" ht="20.100000000000001" customHeight="1" x14ac:dyDescent="0.25"/>
    <row r="529" customFormat="1" ht="20.100000000000001" customHeight="1" x14ac:dyDescent="0.25"/>
    <row r="530" customFormat="1" ht="20.100000000000001" customHeight="1" x14ac:dyDescent="0.25"/>
    <row r="531" customFormat="1" ht="20.100000000000001" customHeight="1" x14ac:dyDescent="0.25"/>
    <row r="532" customFormat="1" ht="20.100000000000001" customHeight="1" x14ac:dyDescent="0.25"/>
    <row r="533" customFormat="1" ht="20.100000000000001" customHeight="1" x14ac:dyDescent="0.25"/>
    <row r="534" customFormat="1" ht="20.100000000000001" customHeight="1" x14ac:dyDescent="0.25"/>
    <row r="535" customFormat="1" ht="20.100000000000001" customHeight="1" x14ac:dyDescent="0.25"/>
    <row r="536" customFormat="1" ht="20.100000000000001" customHeight="1" x14ac:dyDescent="0.25"/>
    <row r="537" customFormat="1" ht="20.100000000000001" customHeight="1" x14ac:dyDescent="0.25"/>
    <row r="538" customFormat="1" ht="20.100000000000001" customHeight="1" x14ac:dyDescent="0.25"/>
    <row r="539" customFormat="1" ht="20.100000000000001" customHeight="1" x14ac:dyDescent="0.25"/>
    <row r="540" customFormat="1" ht="20.100000000000001" customHeight="1" x14ac:dyDescent="0.25"/>
    <row r="541" customFormat="1" ht="20.100000000000001" customHeight="1" x14ac:dyDescent="0.25"/>
    <row r="542" customFormat="1" ht="20.100000000000001" customHeight="1" x14ac:dyDescent="0.25"/>
    <row r="543" customFormat="1" ht="20.100000000000001" customHeight="1" x14ac:dyDescent="0.25"/>
    <row r="544" customFormat="1" ht="20.100000000000001" customHeight="1" x14ac:dyDescent="0.25"/>
    <row r="545" customFormat="1" ht="20.100000000000001" customHeight="1" x14ac:dyDescent="0.25"/>
    <row r="546" customFormat="1" ht="20.100000000000001" customHeight="1" x14ac:dyDescent="0.25"/>
    <row r="547" customFormat="1" ht="20.100000000000001" customHeight="1" x14ac:dyDescent="0.25"/>
    <row r="548" customFormat="1" ht="20.100000000000001" customHeight="1" x14ac:dyDescent="0.25"/>
    <row r="549" customFormat="1" ht="20.100000000000001" customHeight="1" x14ac:dyDescent="0.25"/>
    <row r="550" customFormat="1" ht="20.100000000000001" customHeight="1" x14ac:dyDescent="0.25"/>
    <row r="551" customFormat="1" ht="20.100000000000001" customHeight="1" x14ac:dyDescent="0.25"/>
    <row r="552" customFormat="1" ht="20.100000000000001" customHeight="1" x14ac:dyDescent="0.25"/>
    <row r="553" customFormat="1" ht="20.100000000000001" customHeight="1" x14ac:dyDescent="0.25"/>
    <row r="554" customFormat="1" ht="20.100000000000001" customHeight="1" x14ac:dyDescent="0.25"/>
    <row r="555" customFormat="1" ht="20.100000000000001" customHeight="1" x14ac:dyDescent="0.25"/>
    <row r="556" customFormat="1" ht="20.100000000000001" customHeight="1" x14ac:dyDescent="0.25"/>
    <row r="557" customFormat="1" ht="20.100000000000001" customHeight="1" x14ac:dyDescent="0.25"/>
    <row r="558" customFormat="1" ht="20.100000000000001" customHeight="1" x14ac:dyDescent="0.25"/>
    <row r="559" customFormat="1" ht="20.100000000000001" customHeight="1" x14ac:dyDescent="0.25"/>
    <row r="560" customFormat="1" ht="20.100000000000001" customHeight="1" x14ac:dyDescent="0.25"/>
    <row r="561" customFormat="1" ht="20.100000000000001" customHeight="1" x14ac:dyDescent="0.25"/>
    <row r="562" customFormat="1" ht="20.100000000000001" customHeight="1" x14ac:dyDescent="0.25"/>
    <row r="563" customFormat="1" ht="20.100000000000001" customHeight="1" x14ac:dyDescent="0.25"/>
    <row r="564" customFormat="1" ht="20.100000000000001" customHeight="1" x14ac:dyDescent="0.25"/>
    <row r="565" customFormat="1" ht="20.100000000000001" customHeight="1" x14ac:dyDescent="0.25"/>
    <row r="566" customFormat="1" ht="20.100000000000001" customHeight="1" x14ac:dyDescent="0.25"/>
    <row r="567" customFormat="1" ht="20.100000000000001" customHeight="1" x14ac:dyDescent="0.25"/>
    <row r="568" customFormat="1" ht="20.100000000000001" customHeight="1" x14ac:dyDescent="0.25"/>
    <row r="569" customFormat="1" ht="20.100000000000001" customHeight="1" x14ac:dyDescent="0.25"/>
    <row r="570" customFormat="1" ht="20.100000000000001" customHeight="1" x14ac:dyDescent="0.25"/>
    <row r="571" customFormat="1" ht="20.100000000000001" customHeight="1" x14ac:dyDescent="0.25"/>
    <row r="572" customFormat="1" ht="20.100000000000001" customHeight="1" x14ac:dyDescent="0.25"/>
    <row r="573" customFormat="1" ht="20.100000000000001" customHeight="1" x14ac:dyDescent="0.25"/>
    <row r="574" customFormat="1" ht="20.100000000000001" customHeight="1" x14ac:dyDescent="0.25"/>
    <row r="575" customFormat="1" ht="20.100000000000001" customHeight="1" x14ac:dyDescent="0.25"/>
    <row r="576" customFormat="1" ht="20.100000000000001" customHeight="1" x14ac:dyDescent="0.25"/>
    <row r="577" customFormat="1" ht="20.100000000000001" customHeight="1" x14ac:dyDescent="0.25"/>
    <row r="578" customFormat="1" ht="20.100000000000001" customHeight="1" x14ac:dyDescent="0.25"/>
    <row r="579" customFormat="1" ht="20.100000000000001" customHeight="1" x14ac:dyDescent="0.25"/>
    <row r="580" customFormat="1" ht="20.100000000000001" customHeight="1" x14ac:dyDescent="0.25"/>
    <row r="581" customFormat="1" ht="20.100000000000001" customHeight="1" x14ac:dyDescent="0.25"/>
    <row r="582" customFormat="1" ht="20.100000000000001" customHeight="1" x14ac:dyDescent="0.25"/>
    <row r="583" customFormat="1" ht="20.100000000000001" customHeight="1" x14ac:dyDescent="0.25"/>
    <row r="584" customFormat="1" ht="20.100000000000001" customHeight="1" x14ac:dyDescent="0.25"/>
    <row r="585" customFormat="1" ht="20.100000000000001" customHeight="1" x14ac:dyDescent="0.25"/>
    <row r="586" customFormat="1" ht="20.100000000000001" customHeight="1" x14ac:dyDescent="0.25"/>
    <row r="587" customFormat="1" ht="20.100000000000001" customHeight="1" x14ac:dyDescent="0.25"/>
    <row r="588" customFormat="1" ht="20.100000000000001" customHeight="1" x14ac:dyDescent="0.25"/>
    <row r="589" customFormat="1" ht="20.100000000000001" customHeight="1" x14ac:dyDescent="0.25"/>
    <row r="590" customFormat="1" ht="20.100000000000001" customHeight="1" x14ac:dyDescent="0.25"/>
    <row r="591" customFormat="1" ht="20.100000000000001" customHeight="1" x14ac:dyDescent="0.25"/>
    <row r="592" customFormat="1" ht="20.100000000000001" customHeight="1" x14ac:dyDescent="0.25"/>
    <row r="593" customFormat="1" ht="20.100000000000001" customHeight="1" x14ac:dyDescent="0.25"/>
    <row r="594" customFormat="1" ht="20.100000000000001" customHeight="1" x14ac:dyDescent="0.25"/>
    <row r="595" customFormat="1" ht="20.100000000000001" customHeight="1" x14ac:dyDescent="0.25"/>
    <row r="596" customFormat="1" ht="20.100000000000001" customHeight="1" x14ac:dyDescent="0.25"/>
    <row r="597" customFormat="1" ht="20.100000000000001" customHeight="1" x14ac:dyDescent="0.25"/>
    <row r="598" customFormat="1" ht="20.100000000000001" customHeight="1" x14ac:dyDescent="0.25"/>
    <row r="599" customFormat="1" ht="20.100000000000001" customHeight="1" x14ac:dyDescent="0.25"/>
    <row r="600" customFormat="1" ht="20.100000000000001" customHeight="1" x14ac:dyDescent="0.25"/>
    <row r="601" customFormat="1" ht="20.100000000000001" customHeight="1" x14ac:dyDescent="0.25"/>
    <row r="602" customFormat="1" ht="20.100000000000001" customHeight="1" x14ac:dyDescent="0.25"/>
    <row r="603" customFormat="1" ht="20.100000000000001" customHeight="1" x14ac:dyDescent="0.25"/>
    <row r="604" customFormat="1" ht="20.100000000000001" customHeight="1" x14ac:dyDescent="0.25"/>
    <row r="605" customFormat="1" ht="20.100000000000001" customHeight="1" x14ac:dyDescent="0.25"/>
    <row r="606" customFormat="1" ht="20.100000000000001" customHeight="1" x14ac:dyDescent="0.25"/>
    <row r="607" customFormat="1" ht="20.100000000000001" customHeight="1" x14ac:dyDescent="0.25"/>
    <row r="608" customFormat="1" ht="20.100000000000001" customHeight="1" x14ac:dyDescent="0.25"/>
    <row r="609" customFormat="1" ht="20.100000000000001" customHeight="1" x14ac:dyDescent="0.25"/>
    <row r="610" customFormat="1" ht="20.100000000000001" customHeight="1" x14ac:dyDescent="0.25"/>
    <row r="611" customFormat="1" ht="20.100000000000001" customHeight="1" x14ac:dyDescent="0.25"/>
    <row r="612" customFormat="1" ht="20.100000000000001" customHeight="1" x14ac:dyDescent="0.25"/>
    <row r="613" customFormat="1" ht="20.100000000000001" customHeight="1" x14ac:dyDescent="0.25"/>
    <row r="614" customFormat="1" ht="20.100000000000001" customHeight="1" x14ac:dyDescent="0.25"/>
    <row r="615" customFormat="1" ht="20.100000000000001" customHeight="1" x14ac:dyDescent="0.25"/>
    <row r="616" customFormat="1" ht="20.100000000000001" customHeight="1" x14ac:dyDescent="0.25"/>
    <row r="617" customFormat="1" ht="20.100000000000001" customHeight="1" x14ac:dyDescent="0.25"/>
    <row r="618" customFormat="1" ht="20.100000000000001" customHeight="1" x14ac:dyDescent="0.25"/>
    <row r="619" customFormat="1" ht="20.100000000000001" customHeight="1" x14ac:dyDescent="0.25"/>
    <row r="620" customFormat="1" ht="20.100000000000001" customHeight="1" x14ac:dyDescent="0.25"/>
    <row r="621" customFormat="1" ht="20.100000000000001" customHeight="1" x14ac:dyDescent="0.25"/>
    <row r="622" customFormat="1" ht="20.100000000000001" customHeight="1" x14ac:dyDescent="0.25"/>
    <row r="623" customFormat="1" ht="20.100000000000001" customHeight="1" x14ac:dyDescent="0.25"/>
    <row r="624" customFormat="1" ht="20.100000000000001" customHeight="1" x14ac:dyDescent="0.25"/>
    <row r="625" customFormat="1" ht="20.100000000000001" customHeight="1" x14ac:dyDescent="0.25"/>
    <row r="626" customFormat="1" ht="20.100000000000001" customHeight="1" x14ac:dyDescent="0.25"/>
    <row r="627" customFormat="1" ht="20.100000000000001" customHeight="1" x14ac:dyDescent="0.25"/>
    <row r="628" customFormat="1" ht="20.100000000000001" customHeight="1" x14ac:dyDescent="0.25"/>
    <row r="629" customFormat="1" ht="20.100000000000001" customHeight="1" x14ac:dyDescent="0.25"/>
    <row r="630" customFormat="1" ht="20.100000000000001" customHeight="1" x14ac:dyDescent="0.25"/>
    <row r="631" customFormat="1" ht="20.100000000000001" customHeight="1" x14ac:dyDescent="0.25"/>
    <row r="632" customFormat="1" ht="20.100000000000001" customHeight="1" x14ac:dyDescent="0.25"/>
    <row r="633" customFormat="1" ht="20.100000000000001" customHeight="1" x14ac:dyDescent="0.25"/>
    <row r="634" customFormat="1" ht="20.100000000000001" customHeight="1" x14ac:dyDescent="0.25"/>
    <row r="635" customFormat="1" ht="20.100000000000001" customHeight="1" x14ac:dyDescent="0.25"/>
    <row r="636" customFormat="1" ht="20.100000000000001" customHeight="1" x14ac:dyDescent="0.25"/>
    <row r="637" customFormat="1" ht="20.100000000000001" customHeight="1" x14ac:dyDescent="0.25"/>
    <row r="638" customFormat="1" ht="20.100000000000001" customHeight="1" x14ac:dyDescent="0.25"/>
    <row r="639" customFormat="1" ht="20.100000000000001" customHeight="1" x14ac:dyDescent="0.25"/>
    <row r="640" customFormat="1" ht="20.100000000000001" customHeight="1" x14ac:dyDescent="0.25"/>
    <row r="641" customFormat="1" ht="20.100000000000001" customHeight="1" x14ac:dyDescent="0.25"/>
    <row r="642" customFormat="1" ht="20.100000000000001" customHeight="1" x14ac:dyDescent="0.25"/>
    <row r="643" customFormat="1" ht="20.100000000000001" customHeight="1" x14ac:dyDescent="0.25"/>
    <row r="644" customFormat="1" ht="20.100000000000001" customHeight="1" x14ac:dyDescent="0.25"/>
    <row r="645" customFormat="1" ht="20.100000000000001" customHeight="1" x14ac:dyDescent="0.25"/>
    <row r="646" customFormat="1" ht="20.100000000000001" customHeight="1" x14ac:dyDescent="0.25"/>
    <row r="647" customFormat="1" ht="20.100000000000001" customHeight="1" x14ac:dyDescent="0.25"/>
    <row r="648" customFormat="1" ht="20.100000000000001" customHeight="1" x14ac:dyDescent="0.25"/>
    <row r="649" customFormat="1" ht="20.100000000000001" customHeight="1" x14ac:dyDescent="0.25"/>
    <row r="650" customFormat="1" ht="20.100000000000001" customHeight="1" x14ac:dyDescent="0.25"/>
    <row r="651" customFormat="1" ht="20.100000000000001" customHeight="1" x14ac:dyDescent="0.25"/>
    <row r="652" customFormat="1" ht="20.100000000000001" customHeight="1" x14ac:dyDescent="0.25"/>
    <row r="653" customFormat="1" ht="20.100000000000001" customHeight="1" x14ac:dyDescent="0.25"/>
    <row r="654" customFormat="1" ht="20.100000000000001" customHeight="1" x14ac:dyDescent="0.25"/>
    <row r="655" customFormat="1" ht="20.100000000000001" customHeight="1" x14ac:dyDescent="0.25"/>
    <row r="656" customFormat="1" ht="20.100000000000001" customHeight="1" x14ac:dyDescent="0.25"/>
    <row r="657" customFormat="1" ht="20.100000000000001" customHeight="1" x14ac:dyDescent="0.25"/>
    <row r="658" customFormat="1" ht="20.100000000000001" customHeight="1" x14ac:dyDescent="0.25"/>
    <row r="659" customFormat="1" ht="20.100000000000001" customHeight="1" x14ac:dyDescent="0.25"/>
    <row r="660" customFormat="1" ht="20.100000000000001" customHeight="1" x14ac:dyDescent="0.25"/>
    <row r="661" customFormat="1" ht="20.100000000000001" customHeight="1" x14ac:dyDescent="0.25"/>
    <row r="662" customFormat="1" ht="20.100000000000001" customHeight="1" x14ac:dyDescent="0.25"/>
    <row r="663" customFormat="1" ht="20.100000000000001" customHeight="1" x14ac:dyDescent="0.25"/>
    <row r="664" customFormat="1" ht="20.100000000000001" customHeight="1" x14ac:dyDescent="0.25"/>
    <row r="665" customFormat="1" ht="20.100000000000001" customHeight="1" x14ac:dyDescent="0.25"/>
    <row r="666" customFormat="1" ht="20.100000000000001" customHeight="1" x14ac:dyDescent="0.25"/>
    <row r="667" customFormat="1" ht="20.100000000000001" customHeight="1" x14ac:dyDescent="0.25"/>
    <row r="668" customFormat="1" ht="20.100000000000001" customHeight="1" x14ac:dyDescent="0.25"/>
    <row r="669" customFormat="1" ht="20.100000000000001" customHeight="1" x14ac:dyDescent="0.25"/>
    <row r="670" customFormat="1" ht="20.100000000000001" customHeight="1" x14ac:dyDescent="0.25"/>
    <row r="671" customFormat="1" ht="20.100000000000001" customHeight="1" x14ac:dyDescent="0.25"/>
    <row r="672" customFormat="1" ht="20.100000000000001" customHeight="1" x14ac:dyDescent="0.25"/>
    <row r="673" customFormat="1" ht="20.100000000000001" customHeight="1" x14ac:dyDescent="0.25"/>
    <row r="674" customFormat="1" ht="20.100000000000001" customHeight="1" x14ac:dyDescent="0.25"/>
    <row r="675" customFormat="1" ht="20.100000000000001" customHeight="1" x14ac:dyDescent="0.25"/>
    <row r="676" customFormat="1" ht="20.100000000000001" customHeight="1" x14ac:dyDescent="0.25"/>
    <row r="677" customFormat="1" ht="20.100000000000001" customHeight="1" x14ac:dyDescent="0.25"/>
    <row r="678" customFormat="1" ht="20.100000000000001" customHeight="1" x14ac:dyDescent="0.25"/>
    <row r="679" customFormat="1" ht="20.100000000000001" customHeight="1" x14ac:dyDescent="0.25"/>
    <row r="680" customFormat="1" ht="20.100000000000001" customHeight="1" x14ac:dyDescent="0.25"/>
    <row r="681" customFormat="1" ht="20.100000000000001" customHeight="1" x14ac:dyDescent="0.25"/>
    <row r="682" customFormat="1" ht="20.100000000000001" customHeight="1" x14ac:dyDescent="0.25"/>
    <row r="683" customFormat="1" ht="20.100000000000001" customHeight="1" x14ac:dyDescent="0.25"/>
    <row r="684" customFormat="1" ht="20.100000000000001" customHeight="1" x14ac:dyDescent="0.25"/>
    <row r="685" customFormat="1" ht="20.100000000000001" customHeight="1" x14ac:dyDescent="0.25"/>
    <row r="686" customFormat="1" ht="20.100000000000001" customHeight="1" x14ac:dyDescent="0.25"/>
    <row r="687" customFormat="1" ht="20.100000000000001" customHeight="1" x14ac:dyDescent="0.25"/>
    <row r="688" customFormat="1" ht="20.100000000000001" customHeight="1" x14ac:dyDescent="0.25"/>
    <row r="689" customFormat="1" ht="20.100000000000001" customHeight="1" x14ac:dyDescent="0.25"/>
    <row r="690" customFormat="1" ht="20.100000000000001" customHeight="1" x14ac:dyDescent="0.25"/>
    <row r="691" customFormat="1" ht="20.100000000000001" customHeight="1" x14ac:dyDescent="0.25"/>
    <row r="692" customFormat="1" ht="20.100000000000001" customHeight="1" x14ac:dyDescent="0.25"/>
    <row r="693" customFormat="1" ht="20.100000000000001" customHeight="1" x14ac:dyDescent="0.25"/>
    <row r="694" customFormat="1" ht="20.100000000000001" customHeight="1" x14ac:dyDescent="0.25"/>
    <row r="695" customFormat="1" ht="20.100000000000001" customHeight="1" x14ac:dyDescent="0.25"/>
    <row r="696" customFormat="1" ht="20.100000000000001" customHeight="1" x14ac:dyDescent="0.25"/>
    <row r="697" customFormat="1" ht="20.100000000000001" customHeight="1" x14ac:dyDescent="0.25"/>
    <row r="698" customFormat="1" ht="20.100000000000001" customHeight="1" x14ac:dyDescent="0.25"/>
    <row r="699" customFormat="1" ht="20.100000000000001" customHeight="1" x14ac:dyDescent="0.25"/>
    <row r="700" customFormat="1" ht="20.100000000000001" customHeight="1" x14ac:dyDescent="0.25"/>
    <row r="701" customFormat="1" ht="20.100000000000001" customHeight="1" x14ac:dyDescent="0.25"/>
    <row r="702" customFormat="1" ht="20.100000000000001" customHeight="1" x14ac:dyDescent="0.25"/>
    <row r="703" customFormat="1" ht="20.100000000000001" customHeight="1" x14ac:dyDescent="0.25"/>
    <row r="704" customFormat="1" ht="20.100000000000001" customHeight="1" x14ac:dyDescent="0.25"/>
    <row r="705" customFormat="1" ht="20.100000000000001" customHeight="1" x14ac:dyDescent="0.25"/>
    <row r="706" customFormat="1" ht="20.100000000000001" customHeight="1" x14ac:dyDescent="0.25"/>
    <row r="707" customFormat="1" ht="20.100000000000001" customHeight="1" x14ac:dyDescent="0.25"/>
    <row r="708" customFormat="1" ht="20.100000000000001" customHeight="1" x14ac:dyDescent="0.25"/>
    <row r="709" customFormat="1" ht="20.100000000000001" customHeight="1" x14ac:dyDescent="0.25"/>
    <row r="710" customFormat="1" ht="20.100000000000001" customHeight="1" x14ac:dyDescent="0.25"/>
    <row r="711" customFormat="1" ht="20.100000000000001" customHeight="1" x14ac:dyDescent="0.25"/>
    <row r="712" customFormat="1" ht="20.100000000000001" customHeight="1" x14ac:dyDescent="0.25"/>
    <row r="713" customFormat="1" ht="20.100000000000001" customHeight="1" x14ac:dyDescent="0.25"/>
    <row r="714" customFormat="1" ht="20.100000000000001" customHeight="1" x14ac:dyDescent="0.25"/>
    <row r="715" customFormat="1" ht="20.100000000000001" customHeight="1" x14ac:dyDescent="0.25"/>
    <row r="716" customFormat="1" ht="20.100000000000001" customHeight="1" x14ac:dyDescent="0.25"/>
    <row r="717" customFormat="1" ht="20.100000000000001" customHeight="1" x14ac:dyDescent="0.25"/>
    <row r="718" customFormat="1" ht="20.100000000000001" customHeight="1" x14ac:dyDescent="0.25"/>
    <row r="719" customFormat="1" ht="20.100000000000001" customHeight="1" x14ac:dyDescent="0.25"/>
    <row r="720" customFormat="1" ht="20.100000000000001" customHeight="1" x14ac:dyDescent="0.25"/>
    <row r="721" customFormat="1" ht="20.100000000000001" customHeight="1" x14ac:dyDescent="0.25"/>
    <row r="722" customFormat="1" ht="20.100000000000001" customHeight="1" x14ac:dyDescent="0.25"/>
    <row r="723" customFormat="1" ht="20.100000000000001" customHeight="1" x14ac:dyDescent="0.25"/>
    <row r="724" customFormat="1" ht="20.100000000000001" customHeight="1" x14ac:dyDescent="0.25"/>
    <row r="725" customFormat="1" ht="20.100000000000001" customHeight="1" x14ac:dyDescent="0.25"/>
    <row r="726" customFormat="1" ht="20.100000000000001" customHeight="1" x14ac:dyDescent="0.25"/>
    <row r="727" customFormat="1" ht="20.100000000000001" customHeight="1" x14ac:dyDescent="0.25"/>
    <row r="728" customFormat="1" ht="20.100000000000001" customHeight="1" x14ac:dyDescent="0.25"/>
    <row r="729" customFormat="1" ht="20.100000000000001" customHeight="1" x14ac:dyDescent="0.25"/>
    <row r="730" customFormat="1" ht="20.100000000000001" customHeight="1" x14ac:dyDescent="0.25"/>
    <row r="731" customFormat="1" ht="20.100000000000001" customHeight="1" x14ac:dyDescent="0.25"/>
    <row r="732" customFormat="1" ht="20.100000000000001" customHeight="1" x14ac:dyDescent="0.25"/>
    <row r="733" customFormat="1" ht="20.100000000000001" customHeight="1" x14ac:dyDescent="0.25"/>
    <row r="734" customFormat="1" ht="20.100000000000001" customHeight="1" x14ac:dyDescent="0.25"/>
    <row r="735" customFormat="1" ht="20.100000000000001" customHeight="1" x14ac:dyDescent="0.25"/>
    <row r="736" customFormat="1" ht="20.100000000000001" customHeight="1" x14ac:dyDescent="0.25"/>
    <row r="737" customFormat="1" ht="20.100000000000001" customHeight="1" x14ac:dyDescent="0.25"/>
    <row r="738" customFormat="1" ht="20.100000000000001" customHeight="1" x14ac:dyDescent="0.25"/>
    <row r="739" customFormat="1" ht="20.100000000000001" customHeight="1" x14ac:dyDescent="0.25"/>
    <row r="740" customFormat="1" ht="20.100000000000001" customHeight="1" x14ac:dyDescent="0.25"/>
    <row r="741" customFormat="1" ht="20.100000000000001" customHeight="1" x14ac:dyDescent="0.25"/>
    <row r="742" customFormat="1" ht="20.100000000000001" customHeight="1" x14ac:dyDescent="0.25"/>
    <row r="743" customFormat="1" ht="20.100000000000001" customHeight="1" x14ac:dyDescent="0.25"/>
    <row r="744" customFormat="1" ht="20.100000000000001" customHeight="1" x14ac:dyDescent="0.25"/>
    <row r="745" customFormat="1" ht="20.100000000000001" customHeight="1" x14ac:dyDescent="0.25"/>
    <row r="746" customFormat="1" ht="20.100000000000001" customHeight="1" x14ac:dyDescent="0.25"/>
    <row r="747" customFormat="1" ht="20.100000000000001" customHeight="1" x14ac:dyDescent="0.25"/>
    <row r="748" customFormat="1" ht="20.100000000000001" customHeight="1" x14ac:dyDescent="0.25"/>
    <row r="749" customFormat="1" ht="20.100000000000001" customHeight="1" x14ac:dyDescent="0.25"/>
    <row r="750" customFormat="1" ht="20.100000000000001" customHeight="1" x14ac:dyDescent="0.25"/>
    <row r="751" customFormat="1" ht="20.100000000000001" customHeight="1" x14ac:dyDescent="0.25"/>
    <row r="752" customFormat="1" ht="20.100000000000001" customHeight="1" x14ac:dyDescent="0.25"/>
    <row r="753" customFormat="1" ht="20.100000000000001" customHeight="1" x14ac:dyDescent="0.25"/>
    <row r="754" customFormat="1" ht="20.100000000000001" customHeight="1" x14ac:dyDescent="0.25"/>
    <row r="755" customFormat="1" ht="20.100000000000001" customHeight="1" x14ac:dyDescent="0.25"/>
    <row r="756" customFormat="1" ht="20.100000000000001" customHeight="1" x14ac:dyDescent="0.25"/>
    <row r="757" customFormat="1" ht="20.100000000000001" customHeight="1" x14ac:dyDescent="0.25"/>
    <row r="758" customFormat="1" ht="20.100000000000001" customHeight="1" x14ac:dyDescent="0.25"/>
    <row r="759" customFormat="1" ht="20.100000000000001" customHeight="1" x14ac:dyDescent="0.25"/>
    <row r="760" customFormat="1" ht="20.100000000000001" customHeight="1" x14ac:dyDescent="0.25"/>
    <row r="761" customFormat="1" ht="20.100000000000001" customHeight="1" x14ac:dyDescent="0.25"/>
    <row r="762" customFormat="1" ht="20.100000000000001" customHeight="1" x14ac:dyDescent="0.25"/>
    <row r="763" customFormat="1" ht="20.100000000000001" customHeight="1" x14ac:dyDescent="0.25"/>
    <row r="764" customFormat="1" ht="20.100000000000001" customHeight="1" x14ac:dyDescent="0.25"/>
    <row r="765" customFormat="1" ht="20.100000000000001" customHeight="1" x14ac:dyDescent="0.25"/>
    <row r="766" customFormat="1" ht="20.100000000000001" customHeight="1" x14ac:dyDescent="0.25"/>
    <row r="767" customFormat="1" ht="20.100000000000001" customHeight="1" x14ac:dyDescent="0.25"/>
    <row r="768" customFormat="1" ht="20.100000000000001" customHeight="1" x14ac:dyDescent="0.25"/>
    <row r="769" customFormat="1" ht="20.100000000000001" customHeight="1" x14ac:dyDescent="0.25"/>
    <row r="770" customFormat="1" ht="20.100000000000001" customHeight="1" x14ac:dyDescent="0.25"/>
    <row r="771" customFormat="1" ht="20.100000000000001" customHeight="1" x14ac:dyDescent="0.25"/>
    <row r="772" customFormat="1" ht="20.100000000000001" customHeight="1" x14ac:dyDescent="0.25"/>
    <row r="773" customFormat="1" ht="20.100000000000001" customHeight="1" x14ac:dyDescent="0.25"/>
    <row r="774" customFormat="1" ht="20.100000000000001" customHeight="1" x14ac:dyDescent="0.25"/>
    <row r="775" customFormat="1" ht="20.100000000000001" customHeight="1" x14ac:dyDescent="0.25"/>
    <row r="776" customFormat="1" ht="20.100000000000001" customHeight="1" x14ac:dyDescent="0.25"/>
    <row r="777" customFormat="1" ht="20.100000000000001" customHeight="1" x14ac:dyDescent="0.25"/>
    <row r="778" customFormat="1" ht="20.100000000000001" customHeight="1" x14ac:dyDescent="0.25"/>
    <row r="779" customFormat="1" ht="20.100000000000001" customHeight="1" x14ac:dyDescent="0.25"/>
    <row r="780" customFormat="1" ht="20.100000000000001" customHeight="1" x14ac:dyDescent="0.25"/>
    <row r="781" customFormat="1" ht="20.100000000000001" customHeight="1" x14ac:dyDescent="0.25"/>
    <row r="782" customFormat="1" ht="20.100000000000001" customHeight="1" x14ac:dyDescent="0.25"/>
    <row r="783" customFormat="1" ht="20.100000000000001" customHeight="1" x14ac:dyDescent="0.25"/>
    <row r="784" customFormat="1" ht="20.100000000000001" customHeight="1" x14ac:dyDescent="0.25"/>
    <row r="785" customFormat="1" ht="20.100000000000001" customHeight="1" x14ac:dyDescent="0.25"/>
    <row r="786" customFormat="1" ht="20.100000000000001" customHeight="1" x14ac:dyDescent="0.25"/>
    <row r="787" customFormat="1" ht="20.100000000000001" customHeight="1" x14ac:dyDescent="0.25"/>
    <row r="788" customFormat="1" ht="20.100000000000001" customHeight="1" x14ac:dyDescent="0.25"/>
    <row r="789" customFormat="1" ht="20.100000000000001" customHeight="1" x14ac:dyDescent="0.25"/>
    <row r="790" customFormat="1" ht="20.100000000000001" customHeight="1" x14ac:dyDescent="0.25"/>
    <row r="791" customFormat="1" ht="20.100000000000001" customHeight="1" x14ac:dyDescent="0.25"/>
    <row r="792" customFormat="1" ht="20.100000000000001" customHeight="1" x14ac:dyDescent="0.25"/>
    <row r="793" customFormat="1" ht="20.100000000000001" customHeight="1" x14ac:dyDescent="0.25"/>
    <row r="794" customFormat="1" ht="20.100000000000001" customHeight="1" x14ac:dyDescent="0.25"/>
    <row r="795" customFormat="1" ht="20.100000000000001" customHeight="1" x14ac:dyDescent="0.25"/>
    <row r="796" customFormat="1" ht="20.100000000000001" customHeight="1" x14ac:dyDescent="0.25"/>
    <row r="797" customFormat="1" ht="20.100000000000001" customHeight="1" x14ac:dyDescent="0.25"/>
    <row r="798" customFormat="1" ht="20.100000000000001" customHeight="1" x14ac:dyDescent="0.25"/>
    <row r="799" customFormat="1" ht="20.100000000000001" customHeight="1" x14ac:dyDescent="0.25"/>
    <row r="800" customFormat="1" ht="20.100000000000001" customHeight="1" x14ac:dyDescent="0.25"/>
    <row r="801" customFormat="1" ht="20.100000000000001" customHeight="1" x14ac:dyDescent="0.25"/>
    <row r="802" customFormat="1" ht="20.100000000000001" customHeight="1" x14ac:dyDescent="0.25"/>
    <row r="803" customFormat="1" ht="20.100000000000001" customHeight="1" x14ac:dyDescent="0.25"/>
    <row r="804" customFormat="1" ht="20.100000000000001" customHeight="1" x14ac:dyDescent="0.25"/>
    <row r="805" customFormat="1" ht="20.100000000000001" customHeight="1" x14ac:dyDescent="0.25"/>
    <row r="806" customFormat="1" ht="20.100000000000001" customHeight="1" x14ac:dyDescent="0.25"/>
    <row r="807" customFormat="1" ht="20.100000000000001" customHeight="1" x14ac:dyDescent="0.25"/>
    <row r="808" customFormat="1" ht="20.100000000000001" customHeight="1" x14ac:dyDescent="0.25"/>
    <row r="809" customFormat="1" ht="20.100000000000001" customHeight="1" x14ac:dyDescent="0.25"/>
    <row r="810" customFormat="1" ht="20.100000000000001" customHeight="1" x14ac:dyDescent="0.25"/>
    <row r="811" customFormat="1" ht="20.100000000000001" customHeight="1" x14ac:dyDescent="0.25"/>
    <row r="812" customFormat="1" ht="20.100000000000001" customHeight="1" x14ac:dyDescent="0.25"/>
    <row r="813" customFormat="1" ht="20.100000000000001" customHeight="1" x14ac:dyDescent="0.25"/>
    <row r="814" customFormat="1" ht="20.100000000000001" customHeight="1" x14ac:dyDescent="0.25"/>
    <row r="815" customFormat="1" ht="20.100000000000001" customHeight="1" x14ac:dyDescent="0.25"/>
    <row r="816" customFormat="1" ht="20.100000000000001" customHeight="1" x14ac:dyDescent="0.25"/>
    <row r="817" customFormat="1" ht="20.100000000000001" customHeight="1" x14ac:dyDescent="0.25"/>
    <row r="818" customFormat="1" ht="20.100000000000001" customHeight="1" x14ac:dyDescent="0.25"/>
    <row r="819" customFormat="1" ht="20.100000000000001" customHeight="1" x14ac:dyDescent="0.25"/>
    <row r="820" customFormat="1" ht="20.100000000000001" customHeight="1" x14ac:dyDescent="0.25"/>
    <row r="821" customFormat="1" ht="20.100000000000001" customHeight="1" x14ac:dyDescent="0.25"/>
    <row r="822" customFormat="1" ht="20.100000000000001" customHeight="1" x14ac:dyDescent="0.25"/>
    <row r="823" customFormat="1" ht="20.100000000000001" customHeight="1" x14ac:dyDescent="0.25"/>
    <row r="824" customFormat="1" ht="20.100000000000001" customHeight="1" x14ac:dyDescent="0.25"/>
    <row r="825" customFormat="1" ht="20.100000000000001" customHeight="1" x14ac:dyDescent="0.25"/>
    <row r="826" customFormat="1" ht="20.100000000000001" customHeight="1" x14ac:dyDescent="0.25"/>
    <row r="827" customFormat="1" ht="20.100000000000001" customHeight="1" x14ac:dyDescent="0.25"/>
    <row r="828" customFormat="1" ht="20.100000000000001" customHeight="1" x14ac:dyDescent="0.25"/>
    <row r="829" customFormat="1" ht="20.100000000000001" customHeight="1" x14ac:dyDescent="0.25"/>
    <row r="830" customFormat="1" ht="20.100000000000001" customHeight="1" x14ac:dyDescent="0.25"/>
    <row r="831" customFormat="1" ht="20.100000000000001" customHeight="1" x14ac:dyDescent="0.25"/>
    <row r="832" customFormat="1" ht="20.100000000000001" customHeight="1" x14ac:dyDescent="0.25"/>
    <row r="833" customFormat="1" ht="20.100000000000001" customHeight="1" x14ac:dyDescent="0.25"/>
    <row r="834" customFormat="1" ht="20.100000000000001" customHeight="1" x14ac:dyDescent="0.25"/>
    <row r="835" customFormat="1" ht="20.100000000000001" customHeight="1" x14ac:dyDescent="0.25"/>
    <row r="836" customFormat="1" ht="20.100000000000001" customHeight="1" x14ac:dyDescent="0.25"/>
    <row r="837" customFormat="1" ht="20.100000000000001" customHeight="1" x14ac:dyDescent="0.25"/>
    <row r="838" customFormat="1" ht="20.100000000000001" customHeight="1" x14ac:dyDescent="0.25"/>
    <row r="839" customFormat="1" ht="20.100000000000001" customHeight="1" x14ac:dyDescent="0.25"/>
    <row r="840" customFormat="1" ht="20.100000000000001" customHeight="1" x14ac:dyDescent="0.25"/>
    <row r="841" customFormat="1" ht="20.100000000000001" customHeight="1" x14ac:dyDescent="0.25"/>
    <row r="842" customFormat="1" ht="20.100000000000001" customHeight="1" x14ac:dyDescent="0.25"/>
    <row r="843" customFormat="1" ht="20.100000000000001" customHeight="1" x14ac:dyDescent="0.25"/>
    <row r="844" customFormat="1" ht="20.100000000000001" customHeight="1" x14ac:dyDescent="0.25"/>
    <row r="845" customFormat="1" ht="20.100000000000001" customHeight="1" x14ac:dyDescent="0.25"/>
    <row r="846" customFormat="1" ht="20.100000000000001" customHeight="1" x14ac:dyDescent="0.25"/>
    <row r="847" customFormat="1" ht="20.100000000000001" customHeight="1" x14ac:dyDescent="0.25"/>
    <row r="848" customFormat="1" ht="20.100000000000001" customHeight="1" x14ac:dyDescent="0.25"/>
    <row r="849" customFormat="1" ht="20.100000000000001" customHeight="1" x14ac:dyDescent="0.25"/>
    <row r="850" customFormat="1" ht="20.100000000000001" customHeight="1" x14ac:dyDescent="0.25"/>
    <row r="851" customFormat="1" ht="20.100000000000001" customHeight="1" x14ac:dyDescent="0.25"/>
    <row r="852" customFormat="1" ht="20.100000000000001" customHeight="1" x14ac:dyDescent="0.25"/>
    <row r="853" customFormat="1" ht="20.100000000000001" customHeight="1" x14ac:dyDescent="0.25"/>
    <row r="854" customFormat="1" ht="20.100000000000001" customHeight="1" x14ac:dyDescent="0.25"/>
    <row r="855" customFormat="1" ht="20.100000000000001" customHeight="1" x14ac:dyDescent="0.25"/>
    <row r="856" customFormat="1" ht="20.100000000000001" customHeight="1" x14ac:dyDescent="0.25"/>
    <row r="857" customFormat="1" ht="20.100000000000001" customHeight="1" x14ac:dyDescent="0.25"/>
    <row r="858" customFormat="1" ht="20.100000000000001" customHeight="1" x14ac:dyDescent="0.25"/>
    <row r="859" customFormat="1" ht="20.100000000000001" customHeight="1" x14ac:dyDescent="0.25"/>
    <row r="860" customFormat="1" ht="20.100000000000001" customHeight="1" x14ac:dyDescent="0.25"/>
    <row r="861" customFormat="1" ht="20.100000000000001" customHeight="1" x14ac:dyDescent="0.25"/>
    <row r="862" customFormat="1" ht="20.100000000000001" customHeight="1" x14ac:dyDescent="0.25"/>
    <row r="863" customFormat="1" ht="20.100000000000001" customHeight="1" x14ac:dyDescent="0.25"/>
    <row r="864" customFormat="1" ht="20.100000000000001" customHeight="1" x14ac:dyDescent="0.25"/>
    <row r="865" customFormat="1" ht="20.100000000000001" customHeight="1" x14ac:dyDescent="0.25"/>
    <row r="866" customFormat="1" ht="20.100000000000001" customHeight="1" x14ac:dyDescent="0.25"/>
    <row r="867" customFormat="1" ht="20.100000000000001" customHeight="1" x14ac:dyDescent="0.25"/>
    <row r="868" customFormat="1" ht="20.100000000000001" customHeight="1" x14ac:dyDescent="0.25"/>
    <row r="869" customFormat="1" ht="20.100000000000001" customHeight="1" x14ac:dyDescent="0.25"/>
    <row r="870" customFormat="1" ht="20.100000000000001" customHeight="1" x14ac:dyDescent="0.25"/>
    <row r="871" customFormat="1" ht="20.100000000000001" customHeight="1" x14ac:dyDescent="0.25"/>
    <row r="872" customFormat="1" ht="20.100000000000001" customHeight="1" x14ac:dyDescent="0.25"/>
    <row r="873" customFormat="1" ht="20.100000000000001" customHeight="1" x14ac:dyDescent="0.25"/>
    <row r="874" customFormat="1" ht="20.100000000000001" customHeight="1" x14ac:dyDescent="0.25"/>
    <row r="875" customFormat="1" ht="20.100000000000001" customHeight="1" x14ac:dyDescent="0.25"/>
    <row r="876" customFormat="1" ht="20.100000000000001" customHeight="1" x14ac:dyDescent="0.25"/>
    <row r="877" customFormat="1" ht="20.100000000000001" customHeight="1" x14ac:dyDescent="0.25"/>
    <row r="878" customFormat="1" ht="20.100000000000001" customHeight="1" x14ac:dyDescent="0.25"/>
    <row r="879" customFormat="1" ht="20.100000000000001" customHeight="1" x14ac:dyDescent="0.25"/>
    <row r="880" customFormat="1" ht="20.100000000000001" customHeight="1" x14ac:dyDescent="0.25"/>
    <row r="881" customFormat="1" ht="20.100000000000001" customHeight="1" x14ac:dyDescent="0.25"/>
    <row r="882" customFormat="1" ht="20.100000000000001" customHeight="1" x14ac:dyDescent="0.25"/>
    <row r="883" customFormat="1" ht="20.100000000000001" customHeight="1" x14ac:dyDescent="0.25"/>
    <row r="884" customFormat="1" ht="20.100000000000001" customHeight="1" x14ac:dyDescent="0.25"/>
    <row r="885" customFormat="1" ht="20.100000000000001" customHeight="1" x14ac:dyDescent="0.25"/>
    <row r="886" customFormat="1" ht="20.100000000000001" customHeight="1" x14ac:dyDescent="0.25"/>
    <row r="887" customFormat="1" ht="20.100000000000001" customHeight="1" x14ac:dyDescent="0.25"/>
    <row r="888" customFormat="1" ht="20.100000000000001" customHeight="1" x14ac:dyDescent="0.25"/>
    <row r="889" customFormat="1" ht="20.100000000000001" customHeight="1" x14ac:dyDescent="0.25"/>
    <row r="890" customFormat="1" ht="20.100000000000001" customHeight="1" x14ac:dyDescent="0.25"/>
    <row r="891" customFormat="1" ht="20.100000000000001" customHeight="1" x14ac:dyDescent="0.25"/>
    <row r="892" customFormat="1" ht="20.100000000000001" customHeight="1" x14ac:dyDescent="0.25"/>
    <row r="893" customFormat="1" ht="20.100000000000001" customHeight="1" x14ac:dyDescent="0.25"/>
    <row r="894" customFormat="1" ht="20.100000000000001" customHeight="1" x14ac:dyDescent="0.25"/>
    <row r="895" customFormat="1" ht="20.100000000000001" customHeight="1" x14ac:dyDescent="0.25"/>
    <row r="896" customFormat="1" ht="20.100000000000001" customHeight="1" x14ac:dyDescent="0.25"/>
    <row r="897" customFormat="1" ht="20.100000000000001" customHeight="1" x14ac:dyDescent="0.25"/>
    <row r="898" customFormat="1" ht="20.100000000000001" customHeight="1" x14ac:dyDescent="0.25"/>
    <row r="899" customFormat="1" ht="20.100000000000001" customHeight="1" x14ac:dyDescent="0.25"/>
    <row r="900" customFormat="1" ht="20.100000000000001" customHeight="1" x14ac:dyDescent="0.25"/>
    <row r="901" customFormat="1" ht="20.100000000000001" customHeight="1" x14ac:dyDescent="0.25"/>
    <row r="902" customFormat="1" ht="20.100000000000001" customHeight="1" x14ac:dyDescent="0.25"/>
    <row r="903" customFormat="1" ht="20.100000000000001" customHeight="1" x14ac:dyDescent="0.25"/>
    <row r="904" customFormat="1" ht="20.100000000000001" customHeight="1" x14ac:dyDescent="0.25"/>
    <row r="905" customFormat="1" ht="20.100000000000001" customHeight="1" x14ac:dyDescent="0.25"/>
    <row r="906" customFormat="1" ht="20.100000000000001" customHeight="1" x14ac:dyDescent="0.25"/>
    <row r="907" customFormat="1" ht="20.100000000000001" customHeight="1" x14ac:dyDescent="0.25"/>
    <row r="908" customFormat="1" ht="20.100000000000001" customHeight="1" x14ac:dyDescent="0.25"/>
    <row r="909" customFormat="1" ht="20.100000000000001" customHeight="1" x14ac:dyDescent="0.25"/>
    <row r="910" customFormat="1" ht="20.100000000000001" customHeight="1" x14ac:dyDescent="0.25"/>
    <row r="911" customFormat="1" ht="20.100000000000001" customHeight="1" x14ac:dyDescent="0.25"/>
    <row r="912" customFormat="1" ht="20.100000000000001" customHeight="1" x14ac:dyDescent="0.25"/>
    <row r="913" customFormat="1" ht="20.100000000000001" customHeight="1" x14ac:dyDescent="0.25"/>
    <row r="914" customFormat="1" ht="20.100000000000001" customHeight="1" x14ac:dyDescent="0.25"/>
    <row r="915" customFormat="1" ht="20.100000000000001" customHeight="1" x14ac:dyDescent="0.25"/>
    <row r="916" customFormat="1" ht="20.100000000000001" customHeight="1" x14ac:dyDescent="0.25"/>
    <row r="917" customFormat="1" ht="20.100000000000001" customHeight="1" x14ac:dyDescent="0.25"/>
    <row r="918" customFormat="1" ht="20.100000000000001" customHeight="1" x14ac:dyDescent="0.25"/>
    <row r="919" customFormat="1" ht="20.100000000000001" customHeight="1" x14ac:dyDescent="0.25"/>
    <row r="920" customFormat="1" ht="20.100000000000001" customHeight="1" x14ac:dyDescent="0.25"/>
    <row r="921" customFormat="1" ht="20.100000000000001" customHeight="1" x14ac:dyDescent="0.25"/>
    <row r="922" customFormat="1" ht="20.100000000000001" customHeight="1" x14ac:dyDescent="0.25"/>
    <row r="923" customFormat="1" ht="20.100000000000001" customHeight="1" x14ac:dyDescent="0.25"/>
    <row r="924" customFormat="1" ht="20.100000000000001" customHeight="1" x14ac:dyDescent="0.25"/>
    <row r="925" customFormat="1" ht="20.100000000000001" customHeight="1" x14ac:dyDescent="0.25"/>
    <row r="926" customFormat="1" ht="20.100000000000001" customHeight="1" x14ac:dyDescent="0.25"/>
    <row r="927" customFormat="1" ht="20.100000000000001" customHeight="1" x14ac:dyDescent="0.25"/>
    <row r="928" customFormat="1" ht="20.100000000000001" customHeight="1" x14ac:dyDescent="0.25"/>
    <row r="929" customFormat="1" ht="20.100000000000001" customHeight="1" x14ac:dyDescent="0.25"/>
    <row r="930" customFormat="1" ht="20.100000000000001" customHeight="1" x14ac:dyDescent="0.25"/>
    <row r="931" customFormat="1" ht="20.100000000000001" customHeight="1" x14ac:dyDescent="0.25"/>
    <row r="932" customFormat="1" ht="20.100000000000001" customHeight="1" x14ac:dyDescent="0.25"/>
    <row r="933" customFormat="1" ht="20.100000000000001" customHeight="1" x14ac:dyDescent="0.25"/>
    <row r="934" customFormat="1" ht="20.100000000000001" customHeight="1" x14ac:dyDescent="0.25"/>
    <row r="935" customFormat="1" ht="20.100000000000001" customHeight="1" x14ac:dyDescent="0.25"/>
    <row r="936" customFormat="1" ht="20.100000000000001" customHeight="1" x14ac:dyDescent="0.25"/>
    <row r="937" customFormat="1" ht="20.100000000000001" customHeight="1" x14ac:dyDescent="0.25"/>
    <row r="938" customFormat="1" ht="20.100000000000001" customHeight="1" x14ac:dyDescent="0.25"/>
    <row r="939" customFormat="1" ht="20.100000000000001" customHeight="1" x14ac:dyDescent="0.25"/>
    <row r="940" customFormat="1" ht="20.100000000000001" customHeight="1" x14ac:dyDescent="0.25"/>
    <row r="941" customFormat="1" ht="20.100000000000001" customHeight="1" x14ac:dyDescent="0.25"/>
    <row r="942" customFormat="1" ht="20.100000000000001" customHeight="1" x14ac:dyDescent="0.25"/>
    <row r="943" customFormat="1" ht="20.100000000000001" customHeight="1" x14ac:dyDescent="0.25"/>
    <row r="944" customFormat="1" ht="20.100000000000001" customHeight="1" x14ac:dyDescent="0.25"/>
    <row r="945" customFormat="1" ht="20.100000000000001" customHeight="1" x14ac:dyDescent="0.25"/>
    <row r="946" customFormat="1" ht="20.100000000000001" customHeight="1" x14ac:dyDescent="0.25"/>
    <row r="947" customFormat="1" ht="20.100000000000001" customHeight="1" x14ac:dyDescent="0.25"/>
    <row r="948" customFormat="1" ht="20.100000000000001" customHeight="1" x14ac:dyDescent="0.25"/>
    <row r="949" customFormat="1" ht="20.100000000000001" customHeight="1" x14ac:dyDescent="0.25"/>
    <row r="950" customFormat="1" ht="20.100000000000001" customHeight="1" x14ac:dyDescent="0.25"/>
    <row r="951" customFormat="1" ht="20.100000000000001" customHeight="1" x14ac:dyDescent="0.25"/>
    <row r="952" customFormat="1" ht="20.100000000000001" customHeight="1" x14ac:dyDescent="0.25"/>
    <row r="953" customFormat="1" ht="20.100000000000001" customHeight="1" x14ac:dyDescent="0.25"/>
    <row r="954" customFormat="1" ht="20.100000000000001" customHeight="1" x14ac:dyDescent="0.25"/>
    <row r="955" customFormat="1" ht="20.100000000000001" customHeight="1" x14ac:dyDescent="0.25"/>
    <row r="956" customFormat="1" ht="20.100000000000001" customHeight="1" x14ac:dyDescent="0.25"/>
    <row r="957" customFormat="1" ht="20.100000000000001" customHeight="1" x14ac:dyDescent="0.25"/>
    <row r="958" customFormat="1" ht="20.100000000000001" customHeight="1" x14ac:dyDescent="0.25"/>
    <row r="959" customFormat="1" ht="20.100000000000001" customHeight="1" x14ac:dyDescent="0.25"/>
    <row r="960" customFormat="1" ht="20.100000000000001" customHeight="1" x14ac:dyDescent="0.25"/>
    <row r="961" customFormat="1" ht="20.100000000000001" customHeight="1" x14ac:dyDescent="0.25"/>
    <row r="962" customFormat="1" ht="20.100000000000001" customHeight="1" x14ac:dyDescent="0.25"/>
    <row r="963" customFormat="1" ht="20.100000000000001" customHeight="1" x14ac:dyDescent="0.25"/>
    <row r="964" customFormat="1" ht="20.100000000000001" customHeight="1" x14ac:dyDescent="0.25"/>
    <row r="965" customFormat="1" ht="20.100000000000001" customHeight="1" x14ac:dyDescent="0.25"/>
    <row r="966" customFormat="1" ht="20.100000000000001" customHeight="1" x14ac:dyDescent="0.25"/>
    <row r="967" customFormat="1" ht="20.100000000000001" customHeight="1" x14ac:dyDescent="0.25"/>
    <row r="968" customFormat="1" ht="20.100000000000001" customHeight="1" x14ac:dyDescent="0.25"/>
    <row r="969" customFormat="1" ht="20.100000000000001" customHeight="1" x14ac:dyDescent="0.25"/>
    <row r="970" customFormat="1" ht="20.100000000000001" customHeight="1" x14ac:dyDescent="0.25"/>
    <row r="971" customFormat="1" ht="20.100000000000001" customHeight="1" x14ac:dyDescent="0.25"/>
    <row r="972" customFormat="1" ht="20.100000000000001" customHeight="1" x14ac:dyDescent="0.25"/>
    <row r="973" customFormat="1" ht="20.100000000000001" customHeight="1" x14ac:dyDescent="0.25"/>
    <row r="974" customFormat="1" ht="20.100000000000001" customHeight="1" x14ac:dyDescent="0.25"/>
    <row r="975" customFormat="1" ht="20.100000000000001" customHeight="1" x14ac:dyDescent="0.25"/>
    <row r="976" customFormat="1" ht="20.100000000000001" customHeight="1" x14ac:dyDescent="0.25"/>
    <row r="977" customFormat="1" ht="20.100000000000001" customHeight="1" x14ac:dyDescent="0.25"/>
    <row r="978" customFormat="1" ht="20.100000000000001" customHeight="1" x14ac:dyDescent="0.25"/>
    <row r="979" customFormat="1" ht="20.100000000000001" customHeight="1" x14ac:dyDescent="0.25"/>
    <row r="980" customFormat="1" ht="20.100000000000001" customHeight="1" x14ac:dyDescent="0.25"/>
    <row r="981" customFormat="1" ht="20.100000000000001" customHeight="1" x14ac:dyDescent="0.25"/>
    <row r="982" customFormat="1" ht="20.100000000000001" customHeight="1" x14ac:dyDescent="0.25"/>
    <row r="983" customFormat="1" ht="20.100000000000001" customHeight="1" x14ac:dyDescent="0.25"/>
    <row r="984" customFormat="1" ht="20.100000000000001" customHeight="1" x14ac:dyDescent="0.25"/>
    <row r="985" customFormat="1" ht="20.100000000000001" customHeight="1" x14ac:dyDescent="0.25"/>
    <row r="986" customFormat="1" ht="20.100000000000001" customHeight="1" x14ac:dyDescent="0.25"/>
    <row r="987" customFormat="1" ht="20.100000000000001" customHeight="1" x14ac:dyDescent="0.25"/>
    <row r="988" customFormat="1" ht="20.100000000000001" customHeight="1" x14ac:dyDescent="0.25"/>
    <row r="989" customFormat="1" ht="20.100000000000001" customHeight="1" x14ac:dyDescent="0.25"/>
    <row r="990" customFormat="1" ht="20.100000000000001" customHeight="1" x14ac:dyDescent="0.25"/>
    <row r="991" customFormat="1" ht="20.100000000000001" customHeight="1" x14ac:dyDescent="0.25"/>
    <row r="992" customFormat="1" ht="20.100000000000001" customHeight="1" x14ac:dyDescent="0.25"/>
    <row r="993" customFormat="1" ht="20.100000000000001" customHeight="1" x14ac:dyDescent="0.25"/>
    <row r="994" customFormat="1" ht="20.100000000000001" customHeight="1" x14ac:dyDescent="0.25"/>
    <row r="995" customFormat="1" ht="20.100000000000001" customHeight="1" x14ac:dyDescent="0.25"/>
    <row r="996" customFormat="1" ht="20.100000000000001" customHeight="1" x14ac:dyDescent="0.25"/>
    <row r="997" customFormat="1" ht="20.100000000000001" customHeight="1" x14ac:dyDescent="0.25"/>
    <row r="998" customFormat="1" ht="20.100000000000001" customHeight="1" x14ac:dyDescent="0.25"/>
    <row r="999" customFormat="1" ht="20.100000000000001" customHeight="1" x14ac:dyDescent="0.25"/>
    <row r="1000" customFormat="1" ht="20.100000000000001" customHeight="1" x14ac:dyDescent="0.25"/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VerifyStock">
                <anchor moveWithCells="1" sizeWithCells="1">
                  <from>
                    <xdr:col>0</xdr:col>
                    <xdr:colOff>85725</xdr:colOff>
                    <xdr:row>0</xdr:row>
                    <xdr:rowOff>76200</xdr:rowOff>
                  </from>
                  <to>
                    <xdr:col>0</xdr:col>
                    <xdr:colOff>1038225</xdr:colOff>
                    <xdr:row>0</xdr:row>
                    <xdr:rowOff>552450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>
    <tabColor theme="3" tint="0.59999389629810485"/>
  </sheetPr>
  <dimension ref="A1:I44"/>
  <sheetViews>
    <sheetView view="pageLayout" zoomScaleNormal="100" workbookViewId="0">
      <selection activeCell="K15" sqref="K15"/>
    </sheetView>
  </sheetViews>
  <sheetFormatPr defaultRowHeight="15" x14ac:dyDescent="0.25"/>
  <cols>
    <col min="5" max="5" width="10.42578125" customWidth="1"/>
  </cols>
  <sheetData>
    <row r="1" spans="1:9" x14ac:dyDescent="0.25">
      <c r="A1" s="29" t="s">
        <v>223</v>
      </c>
      <c r="B1" s="30"/>
      <c r="C1" s="30"/>
      <c r="D1" s="30"/>
      <c r="E1" s="30"/>
      <c r="F1" s="30"/>
      <c r="G1" s="30"/>
      <c r="H1" s="30"/>
      <c r="I1" s="30"/>
    </row>
    <row r="2" spans="1:9" ht="17.25" customHeight="1" x14ac:dyDescent="0.3">
      <c r="A2" s="12" t="s">
        <v>224</v>
      </c>
      <c r="E2" s="31"/>
      <c r="F2" s="32"/>
      <c r="G2" s="32"/>
      <c r="H2" s="32"/>
      <c r="I2" s="32"/>
    </row>
    <row r="3" spans="1:9" ht="15.75" customHeight="1" x14ac:dyDescent="0.3">
      <c r="A3" s="12" t="s">
        <v>214</v>
      </c>
      <c r="E3" s="33"/>
      <c r="F3" s="34"/>
      <c r="G3" s="34"/>
      <c r="H3" s="34"/>
      <c r="I3" s="34"/>
    </row>
    <row r="4" spans="1:9" ht="16.5" customHeight="1" x14ac:dyDescent="0.25">
      <c r="A4" s="35" t="s">
        <v>225</v>
      </c>
      <c r="E4" s="36"/>
      <c r="F4" s="36"/>
      <c r="G4" s="36"/>
      <c r="H4" s="36"/>
      <c r="I4" s="36"/>
    </row>
    <row r="5" spans="1:9" ht="16.5" customHeight="1" x14ac:dyDescent="0.25">
      <c r="A5" s="35" t="s">
        <v>218</v>
      </c>
      <c r="E5" s="37"/>
      <c r="F5" s="36"/>
      <c r="G5" s="36"/>
      <c r="H5" s="36"/>
      <c r="I5" s="36"/>
    </row>
    <row r="6" spans="1:9" ht="16.5" customHeight="1" x14ac:dyDescent="0.25">
      <c r="A6" s="35" t="s">
        <v>226</v>
      </c>
      <c r="E6" s="37"/>
      <c r="F6" s="36"/>
      <c r="G6" s="36"/>
      <c r="H6" s="36"/>
      <c r="I6" s="36"/>
    </row>
    <row r="7" spans="1:9" ht="16.5" customHeight="1" x14ac:dyDescent="0.25">
      <c r="A7" s="35" t="s">
        <v>227</v>
      </c>
      <c r="E7" s="36"/>
      <c r="F7" s="36"/>
      <c r="G7" s="36"/>
      <c r="H7" s="36"/>
      <c r="I7" s="36"/>
    </row>
    <row r="8" spans="1:9" ht="16.5" customHeight="1" x14ac:dyDescent="0.25">
      <c r="A8" s="35" t="s">
        <v>228</v>
      </c>
    </row>
    <row r="9" spans="1:9" ht="16.5" customHeight="1" x14ac:dyDescent="0.25">
      <c r="A9" s="35" t="s">
        <v>220</v>
      </c>
      <c r="E9" s="86"/>
      <c r="F9" s="87"/>
      <c r="G9" s="87"/>
      <c r="H9" s="87"/>
      <c r="I9" s="88"/>
    </row>
    <row r="10" spans="1:9" ht="16.5" customHeight="1" x14ac:dyDescent="0.25">
      <c r="E10" s="89"/>
      <c r="F10" s="90"/>
      <c r="G10" s="90"/>
      <c r="H10" s="90"/>
      <c r="I10" s="91"/>
    </row>
    <row r="11" spans="1:9" ht="16.5" customHeight="1" x14ac:dyDescent="0.25">
      <c r="A11" s="29" t="s">
        <v>229</v>
      </c>
      <c r="B11" s="30"/>
      <c r="C11" s="30"/>
      <c r="D11" s="30"/>
      <c r="E11" s="30"/>
      <c r="F11" s="30"/>
      <c r="G11" s="30"/>
      <c r="H11" s="30"/>
      <c r="I11" s="30"/>
    </row>
    <row r="12" spans="1:9" ht="16.5" customHeight="1" x14ac:dyDescent="0.25">
      <c r="A12" t="s">
        <v>230</v>
      </c>
    </row>
    <row r="13" spans="1:9" ht="16.5" customHeight="1" x14ac:dyDescent="0.25">
      <c r="A13" t="s">
        <v>231</v>
      </c>
    </row>
    <row r="14" spans="1:9" ht="8.25" customHeight="1" x14ac:dyDescent="0.25"/>
    <row r="15" spans="1:9" ht="16.5" customHeight="1" x14ac:dyDescent="0.25">
      <c r="A15" s="29" t="s">
        <v>232</v>
      </c>
      <c r="B15" s="30"/>
      <c r="C15" s="30"/>
      <c r="D15" s="30"/>
      <c r="E15" s="30"/>
      <c r="F15" s="30"/>
      <c r="G15" s="30"/>
      <c r="H15" s="30"/>
      <c r="I15" s="30"/>
    </row>
    <row r="16" spans="1:9" ht="18" customHeight="1" x14ac:dyDescent="0.25">
      <c r="A16" t="s">
        <v>233</v>
      </c>
      <c r="E16" s="38"/>
      <c r="F16" s="38"/>
      <c r="G16" s="38"/>
      <c r="H16" s="38"/>
      <c r="I16" s="38"/>
    </row>
    <row r="17" spans="1:9" ht="28.5" customHeight="1" x14ac:dyDescent="0.25">
      <c r="A17" s="16" t="s">
        <v>234</v>
      </c>
      <c r="E17" s="36"/>
      <c r="F17" s="36"/>
      <c r="G17" s="36"/>
      <c r="H17" s="36"/>
      <c r="I17" s="36"/>
    </row>
    <row r="18" spans="1:9" ht="29.25" customHeight="1" x14ac:dyDescent="0.25">
      <c r="A18" s="92" t="s">
        <v>235</v>
      </c>
      <c r="B18" s="93"/>
      <c r="C18" s="93"/>
      <c r="D18" s="93"/>
      <c r="E18" s="36"/>
      <c r="F18" s="36"/>
      <c r="G18" s="36"/>
      <c r="H18" s="36"/>
      <c r="I18" s="36"/>
    </row>
    <row r="19" spans="1:9" ht="18" customHeight="1" x14ac:dyDescent="0.25">
      <c r="A19" t="s">
        <v>236</v>
      </c>
      <c r="E19" s="36"/>
      <c r="F19" s="36"/>
      <c r="G19" s="36"/>
      <c r="H19" s="36"/>
      <c r="I19" s="36"/>
    </row>
    <row r="20" spans="1:9" ht="18" customHeight="1" x14ac:dyDescent="0.25">
      <c r="A20" t="s">
        <v>237</v>
      </c>
      <c r="E20" s="36"/>
      <c r="F20" s="36"/>
      <c r="G20" s="36"/>
      <c r="H20" s="36"/>
      <c r="I20" s="36"/>
    </row>
    <row r="21" spans="1:9" ht="18" customHeight="1" x14ac:dyDescent="0.25">
      <c r="A21" t="s">
        <v>238</v>
      </c>
      <c r="E21" s="36"/>
      <c r="F21" s="36"/>
      <c r="G21" s="36"/>
      <c r="H21" s="36"/>
      <c r="I21" s="36"/>
    </row>
    <row r="22" spans="1:9" ht="6" customHeight="1" x14ac:dyDescent="0.25"/>
    <row r="23" spans="1:9" ht="16.5" customHeight="1" x14ac:dyDescent="0.25">
      <c r="A23" s="29" t="s">
        <v>239</v>
      </c>
      <c r="B23" s="30"/>
      <c r="C23" s="30"/>
      <c r="D23" s="30"/>
      <c r="E23" s="30"/>
      <c r="F23" s="30"/>
      <c r="G23" s="30"/>
      <c r="H23" s="30"/>
      <c r="I23" s="30"/>
    </row>
    <row r="24" spans="1:9" ht="18" customHeight="1" x14ac:dyDescent="0.25">
      <c r="A24" s="35" t="s">
        <v>240</v>
      </c>
      <c r="E24" s="38"/>
      <c r="F24" s="38"/>
      <c r="G24" s="38"/>
      <c r="H24" s="38"/>
      <c r="I24" s="38"/>
    </row>
    <row r="25" spans="1:9" ht="18" customHeight="1" x14ac:dyDescent="0.25">
      <c r="A25" s="35" t="s">
        <v>238</v>
      </c>
      <c r="E25" s="36"/>
      <c r="F25" s="36"/>
      <c r="G25" s="36"/>
      <c r="H25" s="36"/>
      <c r="I25" s="36"/>
    </row>
    <row r="26" spans="1:9" ht="16.5" customHeight="1" x14ac:dyDescent="0.25">
      <c r="A26" s="35" t="s">
        <v>241</v>
      </c>
    </row>
    <row r="27" spans="1:9" ht="18" customHeight="1" x14ac:dyDescent="0.25">
      <c r="A27" s="35" t="s">
        <v>242</v>
      </c>
      <c r="D27" s="39"/>
      <c r="E27" s="86"/>
      <c r="F27" s="87"/>
      <c r="G27" s="87"/>
      <c r="H27" s="87"/>
      <c r="I27" s="88"/>
    </row>
    <row r="28" spans="1:9" ht="18" customHeight="1" x14ac:dyDescent="0.25">
      <c r="A28" s="35"/>
      <c r="D28" s="39"/>
      <c r="E28" s="94"/>
      <c r="F28" s="95"/>
      <c r="G28" s="95"/>
      <c r="H28" s="95"/>
      <c r="I28" s="96"/>
    </row>
    <row r="29" spans="1:9" ht="18" customHeight="1" x14ac:dyDescent="0.25">
      <c r="A29" s="35"/>
      <c r="D29" s="39"/>
      <c r="E29" s="94"/>
      <c r="F29" s="95"/>
      <c r="G29" s="95"/>
      <c r="H29" s="95"/>
      <c r="I29" s="96"/>
    </row>
    <row r="30" spans="1:9" ht="18" customHeight="1" x14ac:dyDescent="0.25">
      <c r="D30" s="39"/>
      <c r="E30" s="89"/>
      <c r="F30" s="90"/>
      <c r="G30" s="90"/>
      <c r="H30" s="90"/>
      <c r="I30" s="91"/>
    </row>
    <row r="31" spans="1:9" ht="16.5" customHeight="1" x14ac:dyDescent="0.25">
      <c r="A31" s="29" t="s">
        <v>243</v>
      </c>
      <c r="B31" s="30"/>
      <c r="C31" s="30"/>
      <c r="D31" s="30"/>
      <c r="E31" s="30"/>
      <c r="F31" s="30"/>
      <c r="G31" s="30"/>
      <c r="H31" s="30"/>
      <c r="I31" s="30"/>
    </row>
    <row r="32" spans="1:9" ht="18" customHeight="1" x14ac:dyDescent="0.25">
      <c r="A32" t="s">
        <v>244</v>
      </c>
      <c r="E32" s="38"/>
      <c r="F32" s="38"/>
      <c r="G32" s="38"/>
      <c r="H32" s="38"/>
      <c r="I32" s="38"/>
    </row>
    <row r="33" spans="1:9" ht="18" customHeight="1" x14ac:dyDescent="0.25">
      <c r="A33" t="s">
        <v>245</v>
      </c>
      <c r="E33" s="36"/>
      <c r="F33" s="36"/>
      <c r="G33" s="36"/>
      <c r="H33" s="36"/>
      <c r="I33" s="36"/>
    </row>
    <row r="34" spans="1:9" ht="18" customHeight="1" x14ac:dyDescent="0.25">
      <c r="A34" t="s">
        <v>246</v>
      </c>
      <c r="E34" s="36"/>
      <c r="F34" s="36"/>
      <c r="G34" s="36"/>
      <c r="H34" s="36"/>
      <c r="I34" s="36"/>
    </row>
    <row r="35" spans="1:9" ht="9.75" customHeight="1" x14ac:dyDescent="0.25"/>
    <row r="36" spans="1:9" ht="16.5" customHeight="1" x14ac:dyDescent="0.25">
      <c r="A36" s="29" t="s">
        <v>247</v>
      </c>
      <c r="B36" s="30"/>
      <c r="C36" s="30"/>
      <c r="D36" s="30"/>
      <c r="E36" s="30"/>
      <c r="F36" s="30"/>
      <c r="G36" s="30"/>
      <c r="H36" s="30"/>
      <c r="I36" s="30"/>
    </row>
    <row r="37" spans="1:9" ht="18" customHeight="1" x14ac:dyDescent="0.25">
      <c r="A37" t="s">
        <v>248</v>
      </c>
      <c r="E37" s="38"/>
      <c r="F37" s="38"/>
      <c r="G37" s="38"/>
      <c r="H37" s="38"/>
      <c r="I37" s="38"/>
    </row>
    <row r="38" spans="1:9" ht="18" customHeight="1" x14ac:dyDescent="0.25">
      <c r="A38" t="s">
        <v>240</v>
      </c>
      <c r="E38" s="36"/>
      <c r="F38" s="36"/>
      <c r="G38" s="36"/>
      <c r="H38" s="36"/>
      <c r="I38" s="36"/>
    </row>
    <row r="39" spans="1:9" ht="16.5" customHeight="1" x14ac:dyDescent="0.25">
      <c r="A39" t="s">
        <v>249</v>
      </c>
    </row>
    <row r="40" spans="1:9" ht="18" customHeight="1" x14ac:dyDescent="0.25">
      <c r="A40" t="s">
        <v>250</v>
      </c>
      <c r="D40" s="39"/>
      <c r="E40" s="86"/>
      <c r="F40" s="87"/>
      <c r="G40" s="87"/>
      <c r="H40" s="87"/>
      <c r="I40" s="88"/>
    </row>
    <row r="41" spans="1:9" ht="18" customHeight="1" x14ac:dyDescent="0.25">
      <c r="D41" s="39"/>
      <c r="E41" s="94"/>
      <c r="F41" s="95"/>
      <c r="G41" s="95"/>
      <c r="H41" s="95"/>
      <c r="I41" s="96"/>
    </row>
    <row r="42" spans="1:9" ht="18" customHeight="1" x14ac:dyDescent="0.25">
      <c r="D42" s="39"/>
      <c r="E42" s="94"/>
      <c r="F42" s="95"/>
      <c r="G42" s="95"/>
      <c r="H42" s="95"/>
      <c r="I42" s="96"/>
    </row>
    <row r="43" spans="1:9" ht="18" customHeight="1" x14ac:dyDescent="0.25">
      <c r="D43" s="39"/>
      <c r="E43" s="89"/>
      <c r="F43" s="90"/>
      <c r="G43" s="90"/>
      <c r="H43" s="90"/>
      <c r="I43" s="91"/>
    </row>
    <row r="44" spans="1:9" ht="18" customHeight="1" x14ac:dyDescent="0.25"/>
  </sheetData>
  <mergeCells count="4">
    <mergeCell ref="E9:I10"/>
    <mergeCell ref="A18:D18"/>
    <mergeCell ref="E27:I30"/>
    <mergeCell ref="E40:I43"/>
  </mergeCells>
  <pageMargins left="0.7" right="0.7" top="0.75" bottom="0.75" header="0.3" footer="0.3"/>
  <pageSetup paperSize="9" orientation="portrait" r:id="rId1"/>
  <headerFooter>
    <oddHeader>&amp;C&amp;9Transplant Laboratory, Leicester General Hospital, University Hospitals of Leicester&amp;11
&amp;"-,Bold"Reagent verification certificate</oddHeader>
    <oddFooter>&amp;CItem catalogue v1 Mar 2021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Check Box 1">
              <controlPr defaultSize="0" autoFill="0" autoLine="0" autoPict="0">
                <anchor moveWithCells="1">
                  <from>
                    <xdr:col>4</xdr:col>
                    <xdr:colOff>190500</xdr:colOff>
                    <xdr:row>6</xdr:row>
                    <xdr:rowOff>180975</xdr:rowOff>
                  </from>
                  <to>
                    <xdr:col>4</xdr:col>
                    <xdr:colOff>495300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Check Box 2">
              <controlPr defaultSize="0" autoFill="0" autoLine="0" autoPict="0">
                <anchor moveWithCells="1">
                  <from>
                    <xdr:col>6</xdr:col>
                    <xdr:colOff>190500</xdr:colOff>
                    <xdr:row>6</xdr:row>
                    <xdr:rowOff>180975</xdr:rowOff>
                  </from>
                  <to>
                    <xdr:col>8</xdr:col>
                    <xdr:colOff>0</xdr:colOff>
                    <xdr:row>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Check Box 3">
              <controlPr defaultSize="0" autoFill="0" autoLine="0" autoPict="0">
                <anchor moveWithCells="1">
                  <from>
                    <xdr:col>4</xdr:col>
                    <xdr:colOff>171450</xdr:colOff>
                    <xdr:row>11</xdr:row>
                    <xdr:rowOff>0</xdr:rowOff>
                  </from>
                  <to>
                    <xdr:col>6</xdr:col>
                    <xdr:colOff>0</xdr:colOff>
                    <xdr:row>12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7" name="Check Box 4">
              <controlPr defaultSize="0" autoFill="0" autoLine="0" autoPict="0">
                <anchor moveWithCells="1">
                  <from>
                    <xdr:col>6</xdr:col>
                    <xdr:colOff>238125</xdr:colOff>
                    <xdr:row>11</xdr:row>
                    <xdr:rowOff>0</xdr:rowOff>
                  </from>
                  <to>
                    <xdr:col>6</xdr:col>
                    <xdr:colOff>542925</xdr:colOff>
                    <xdr:row>12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8" name="Check Box 5">
              <controlPr defaultSize="0" autoFill="0" autoLine="0" autoPict="0">
                <anchor moveWithCells="1">
                  <from>
                    <xdr:col>4</xdr:col>
                    <xdr:colOff>180975</xdr:colOff>
                    <xdr:row>12</xdr:row>
                    <xdr:rowOff>9525</xdr:rowOff>
                  </from>
                  <to>
                    <xdr:col>6</xdr:col>
                    <xdr:colOff>104775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9" name="Check Box 6">
              <controlPr defaultSize="0" autoFill="0" autoLine="0" autoPict="0">
                <anchor moveWithCells="1">
                  <from>
                    <xdr:col>6</xdr:col>
                    <xdr:colOff>238125</xdr:colOff>
                    <xdr:row>12</xdr:row>
                    <xdr:rowOff>0</xdr:rowOff>
                  </from>
                  <to>
                    <xdr:col>6</xdr:col>
                    <xdr:colOff>542925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10" name="Check Box 7">
              <controlPr defaultSize="0" autoFill="0" autoLine="0" autoPict="0">
                <anchor moveWithCells="1">
                  <from>
                    <xdr:col>4</xdr:col>
                    <xdr:colOff>190500</xdr:colOff>
                    <xdr:row>24</xdr:row>
                    <xdr:rowOff>209550</xdr:rowOff>
                  </from>
                  <to>
                    <xdr:col>4</xdr:col>
                    <xdr:colOff>495300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11" name="Check Box 8">
              <controlPr defaultSize="0" autoFill="0" autoLine="0" autoPict="0">
                <anchor moveWithCells="1">
                  <from>
                    <xdr:col>6</xdr:col>
                    <xdr:colOff>238125</xdr:colOff>
                    <xdr:row>25</xdr:row>
                    <xdr:rowOff>0</xdr:rowOff>
                  </from>
                  <to>
                    <xdr:col>8</xdr:col>
                    <xdr:colOff>542925</xdr:colOff>
                    <xdr:row>26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2" name="Check Box 9">
              <controlPr defaultSize="0" autoFill="0" autoLine="0" autoPict="0">
                <anchor moveWithCells="1">
                  <from>
                    <xdr:col>4</xdr:col>
                    <xdr:colOff>180975</xdr:colOff>
                    <xdr:row>38</xdr:row>
                    <xdr:rowOff>9525</xdr:rowOff>
                  </from>
                  <to>
                    <xdr:col>6</xdr:col>
                    <xdr:colOff>104775</xdr:colOff>
                    <xdr:row>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13" name="Check Box 10">
              <controlPr defaultSize="0" autoFill="0" autoLine="0" autoPict="0">
                <anchor moveWithCells="1">
                  <from>
                    <xdr:col>6</xdr:col>
                    <xdr:colOff>238125</xdr:colOff>
                    <xdr:row>38</xdr:row>
                    <xdr:rowOff>0</xdr:rowOff>
                  </from>
                  <to>
                    <xdr:col>6</xdr:col>
                    <xdr:colOff>542925</xdr:colOff>
                    <xdr:row>39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14" name="Button 11">
              <controlPr defaultSize="0" print="0" autoFill="0" autoPict="0" macro="[0]!ClearVerificationForm">
                <anchor moveWithCells="1" sizeWithCells="1">
                  <from>
                    <xdr:col>0</xdr:col>
                    <xdr:colOff>171450</xdr:colOff>
                    <xdr:row>40</xdr:row>
                    <xdr:rowOff>133350</xdr:rowOff>
                  </from>
                  <to>
                    <xdr:col>1</xdr:col>
                    <xdr:colOff>542925</xdr:colOff>
                    <xdr:row>42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15" name="Check Box 12">
              <controlPr defaultSize="0" autoFill="0" autoLine="0" autoPict="0">
                <anchor moveWithCells="1">
                  <from>
                    <xdr:col>8</xdr:col>
                    <xdr:colOff>190500</xdr:colOff>
                    <xdr:row>11</xdr:row>
                    <xdr:rowOff>200025</xdr:rowOff>
                  </from>
                  <to>
                    <xdr:col>8</xdr:col>
                    <xdr:colOff>495300</xdr:colOff>
                    <xdr:row>13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2" tint="-0.249977111117893"/>
  </sheetPr>
  <dimension ref="A1:B22"/>
  <sheetViews>
    <sheetView view="pageLayout" zoomScaleNormal="100" workbookViewId="0">
      <selection activeCell="A6" sqref="A6"/>
    </sheetView>
  </sheetViews>
  <sheetFormatPr defaultRowHeight="15" x14ac:dyDescent="0.25"/>
  <cols>
    <col min="1" max="1" width="20.42578125" customWidth="1"/>
    <col min="2" max="2" width="46.7109375" customWidth="1"/>
  </cols>
  <sheetData>
    <row r="1" spans="1:2" ht="43.5" customHeight="1" x14ac:dyDescent="0.25">
      <c r="A1" s="97" t="s">
        <v>251</v>
      </c>
      <c r="B1" s="97"/>
    </row>
    <row r="2" spans="1:2" ht="24.95" customHeight="1" x14ac:dyDescent="0.25">
      <c r="A2" s="40" t="s">
        <v>252</v>
      </c>
      <c r="B2" s="41"/>
    </row>
    <row r="3" spans="1:2" ht="24.95" customHeight="1" x14ac:dyDescent="0.25">
      <c r="A3" s="42" t="s">
        <v>3</v>
      </c>
      <c r="B3" s="43"/>
    </row>
    <row r="4" spans="1:2" ht="24.95" customHeight="1" x14ac:dyDescent="0.25">
      <c r="A4" s="42" t="s">
        <v>253</v>
      </c>
      <c r="B4" s="42"/>
    </row>
    <row r="5" spans="1:2" ht="24.95" customHeight="1" x14ac:dyDescent="0.25">
      <c r="A5" s="42" t="s">
        <v>2</v>
      </c>
      <c r="B5" s="43"/>
    </row>
    <row r="6" spans="1:2" ht="24.95" customHeight="1" x14ac:dyDescent="0.25">
      <c r="A6" s="42" t="s">
        <v>254</v>
      </c>
      <c r="B6" s="43"/>
    </row>
    <row r="7" spans="1:2" ht="69.75" customHeight="1" x14ac:dyDescent="0.25">
      <c r="A7" s="44" t="s">
        <v>255</v>
      </c>
      <c r="B7" s="43"/>
    </row>
    <row r="8" spans="1:2" ht="24.95" customHeight="1" x14ac:dyDescent="0.25">
      <c r="A8" s="42" t="s">
        <v>256</v>
      </c>
      <c r="B8" s="45"/>
    </row>
    <row r="9" spans="1:2" ht="24.95" customHeight="1" x14ac:dyDescent="0.25">
      <c r="A9" s="42" t="s">
        <v>9</v>
      </c>
      <c r="B9" s="45"/>
    </row>
    <row r="10" spans="1:2" ht="24.95" customHeight="1" x14ac:dyDescent="0.25">
      <c r="A10" s="42" t="s">
        <v>257</v>
      </c>
      <c r="B10" s="43"/>
    </row>
    <row r="11" spans="1:2" ht="24.95" customHeight="1" x14ac:dyDescent="0.25">
      <c r="A11" s="42" t="s">
        <v>7</v>
      </c>
      <c r="B11" s="43"/>
    </row>
    <row r="12" spans="1:2" ht="24.95" customHeight="1" x14ac:dyDescent="0.25">
      <c r="A12" s="42" t="s">
        <v>258</v>
      </c>
      <c r="B12" s="43"/>
    </row>
    <row r="13" spans="1:2" ht="24.95" customHeight="1" x14ac:dyDescent="0.25">
      <c r="A13" s="46" t="s">
        <v>238</v>
      </c>
      <c r="B13" s="47"/>
    </row>
    <row r="14" spans="1:2" x14ac:dyDescent="0.25">
      <c r="A14" s="48"/>
    </row>
    <row r="15" spans="1:2" x14ac:dyDescent="0.25">
      <c r="A15" s="48"/>
    </row>
    <row r="16" spans="1:2" x14ac:dyDescent="0.25">
      <c r="A16" s="48"/>
    </row>
    <row r="17" spans="1:1" x14ac:dyDescent="0.25">
      <c r="A17" s="48"/>
    </row>
    <row r="18" spans="1:1" x14ac:dyDescent="0.25">
      <c r="A18" s="48"/>
    </row>
    <row r="19" spans="1:1" x14ac:dyDescent="0.25">
      <c r="A19" s="48"/>
    </row>
    <row r="20" spans="1:1" x14ac:dyDescent="0.25">
      <c r="A20" s="48"/>
    </row>
    <row r="21" spans="1:1" x14ac:dyDescent="0.25">
      <c r="A21" s="48"/>
    </row>
    <row r="22" spans="1:1" x14ac:dyDescent="0.25">
      <c r="A22" s="48"/>
    </row>
  </sheetData>
  <mergeCells count="1">
    <mergeCell ref="A1:B1"/>
  </mergeCells>
  <pageMargins left="0.7" right="0.7" top="0.75" bottom="0.75" header="0.3" footer="0.3"/>
  <pageSetup paperSize="9" orientation="portrait" r:id="rId1"/>
  <headerFooter>
    <oddHeader xml:space="preserve">&amp;C&amp;9Transplant Laboratory, Leicester General Hospital, University Hospitals of Leicester&amp;11
</oddHeader>
    <oddFooter>&amp;CItem catalogue v1 Mar 2021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2" tint="-0.249977111117893"/>
  </sheetPr>
  <dimension ref="A1:B57"/>
  <sheetViews>
    <sheetView view="pageLayout" zoomScaleNormal="100" workbookViewId="0">
      <selection activeCell="B39" sqref="B39"/>
    </sheetView>
  </sheetViews>
  <sheetFormatPr defaultRowHeight="15" x14ac:dyDescent="0.25"/>
  <cols>
    <col min="1" max="1" width="20.42578125" customWidth="1"/>
    <col min="2" max="2" width="47.5703125" customWidth="1"/>
  </cols>
  <sheetData>
    <row r="1" spans="1:2" ht="43.5" customHeight="1" x14ac:dyDescent="0.25">
      <c r="A1" s="98" t="s">
        <v>251</v>
      </c>
      <c r="B1" s="99"/>
    </row>
    <row r="2" spans="1:2" ht="12" customHeight="1" x14ac:dyDescent="0.25">
      <c r="A2" s="49" t="s">
        <v>252</v>
      </c>
      <c r="B2" s="50"/>
    </row>
    <row r="3" spans="1:2" ht="12" customHeight="1" x14ac:dyDescent="0.25">
      <c r="A3" s="51" t="s">
        <v>3</v>
      </c>
      <c r="B3" s="52"/>
    </row>
    <row r="4" spans="1:2" ht="12" customHeight="1" x14ac:dyDescent="0.25">
      <c r="A4" s="51" t="s">
        <v>253</v>
      </c>
      <c r="B4" s="53"/>
    </row>
    <row r="5" spans="1:2" ht="12" customHeight="1" x14ac:dyDescent="0.25">
      <c r="A5" s="51" t="s">
        <v>2</v>
      </c>
      <c r="B5" s="52"/>
    </row>
    <row r="6" spans="1:2" ht="12" customHeight="1" x14ac:dyDescent="0.25">
      <c r="A6" s="54" t="s">
        <v>256</v>
      </c>
      <c r="B6" s="55"/>
    </row>
    <row r="7" spans="1:2" ht="12" customHeight="1" x14ac:dyDescent="0.25">
      <c r="A7" s="49" t="s">
        <v>252</v>
      </c>
      <c r="B7" s="50"/>
    </row>
    <row r="8" spans="1:2" ht="12" customHeight="1" x14ac:dyDescent="0.25">
      <c r="A8" s="51" t="s">
        <v>3</v>
      </c>
      <c r="B8" s="52"/>
    </row>
    <row r="9" spans="1:2" ht="12" customHeight="1" x14ac:dyDescent="0.25">
      <c r="A9" s="51" t="s">
        <v>253</v>
      </c>
      <c r="B9" s="53"/>
    </row>
    <row r="10" spans="1:2" ht="12" customHeight="1" x14ac:dyDescent="0.25">
      <c r="A10" s="51" t="s">
        <v>2</v>
      </c>
      <c r="B10" s="52"/>
    </row>
    <row r="11" spans="1:2" ht="12" customHeight="1" x14ac:dyDescent="0.25">
      <c r="A11" s="54" t="s">
        <v>256</v>
      </c>
      <c r="B11" s="55"/>
    </row>
    <row r="12" spans="1:2" ht="12" customHeight="1" x14ac:dyDescent="0.25">
      <c r="A12" s="49" t="s">
        <v>252</v>
      </c>
      <c r="B12" s="50"/>
    </row>
    <row r="13" spans="1:2" ht="12" customHeight="1" x14ac:dyDescent="0.25">
      <c r="A13" s="51" t="s">
        <v>3</v>
      </c>
      <c r="B13" s="52"/>
    </row>
    <row r="14" spans="1:2" ht="12" customHeight="1" x14ac:dyDescent="0.25">
      <c r="A14" s="51" t="s">
        <v>253</v>
      </c>
      <c r="B14" s="53"/>
    </row>
    <row r="15" spans="1:2" ht="12" customHeight="1" x14ac:dyDescent="0.25">
      <c r="A15" s="51" t="s">
        <v>2</v>
      </c>
      <c r="B15" s="52"/>
    </row>
    <row r="16" spans="1:2" ht="12" customHeight="1" x14ac:dyDescent="0.25">
      <c r="A16" s="54" t="s">
        <v>256</v>
      </c>
      <c r="B16" s="55"/>
    </row>
    <row r="17" spans="1:2" ht="12" customHeight="1" x14ac:dyDescent="0.25">
      <c r="A17" s="49" t="s">
        <v>252</v>
      </c>
      <c r="B17" s="50"/>
    </row>
    <row r="18" spans="1:2" ht="12" customHeight="1" x14ac:dyDescent="0.25">
      <c r="A18" s="51" t="s">
        <v>3</v>
      </c>
      <c r="B18" s="52"/>
    </row>
    <row r="19" spans="1:2" ht="12" customHeight="1" x14ac:dyDescent="0.25">
      <c r="A19" s="51" t="s">
        <v>253</v>
      </c>
      <c r="B19" s="53"/>
    </row>
    <row r="20" spans="1:2" ht="12" customHeight="1" x14ac:dyDescent="0.25">
      <c r="A20" s="51" t="s">
        <v>2</v>
      </c>
      <c r="B20" s="52"/>
    </row>
    <row r="21" spans="1:2" ht="12" customHeight="1" x14ac:dyDescent="0.25">
      <c r="A21" s="54" t="s">
        <v>256</v>
      </c>
      <c r="B21" s="55"/>
    </row>
    <row r="22" spans="1:2" ht="12" customHeight="1" x14ac:dyDescent="0.25">
      <c r="A22" s="49" t="s">
        <v>252</v>
      </c>
      <c r="B22" s="50"/>
    </row>
    <row r="23" spans="1:2" ht="12" customHeight="1" x14ac:dyDescent="0.25">
      <c r="A23" s="51" t="s">
        <v>3</v>
      </c>
      <c r="B23" s="52"/>
    </row>
    <row r="24" spans="1:2" ht="12" customHeight="1" x14ac:dyDescent="0.25">
      <c r="A24" s="51" t="s">
        <v>253</v>
      </c>
      <c r="B24" s="53"/>
    </row>
    <row r="25" spans="1:2" ht="12" customHeight="1" x14ac:dyDescent="0.25">
      <c r="A25" s="51" t="s">
        <v>2</v>
      </c>
      <c r="B25" s="52"/>
    </row>
    <row r="26" spans="1:2" ht="12" customHeight="1" x14ac:dyDescent="0.25">
      <c r="A26" s="54" t="s">
        <v>256</v>
      </c>
      <c r="B26" s="55"/>
    </row>
    <row r="27" spans="1:2" ht="12" customHeight="1" x14ac:dyDescent="0.25">
      <c r="A27" s="49" t="s">
        <v>252</v>
      </c>
      <c r="B27" s="50"/>
    </row>
    <row r="28" spans="1:2" ht="12" customHeight="1" x14ac:dyDescent="0.25">
      <c r="A28" s="51" t="s">
        <v>3</v>
      </c>
      <c r="B28" s="52"/>
    </row>
    <row r="29" spans="1:2" ht="12" customHeight="1" x14ac:dyDescent="0.25">
      <c r="A29" s="51" t="s">
        <v>253</v>
      </c>
      <c r="B29" s="53"/>
    </row>
    <row r="30" spans="1:2" ht="12" customHeight="1" x14ac:dyDescent="0.25">
      <c r="A30" s="51" t="s">
        <v>2</v>
      </c>
      <c r="B30" s="52"/>
    </row>
    <row r="31" spans="1:2" ht="12" customHeight="1" x14ac:dyDescent="0.25">
      <c r="A31" s="54" t="s">
        <v>256</v>
      </c>
      <c r="B31" s="55"/>
    </row>
    <row r="32" spans="1:2" ht="12" customHeight="1" x14ac:dyDescent="0.25">
      <c r="A32" s="49" t="s">
        <v>252</v>
      </c>
      <c r="B32" s="50"/>
    </row>
    <row r="33" spans="1:2" ht="12" customHeight="1" x14ac:dyDescent="0.25">
      <c r="A33" s="51" t="s">
        <v>3</v>
      </c>
      <c r="B33" s="52"/>
    </row>
    <row r="34" spans="1:2" ht="12" customHeight="1" x14ac:dyDescent="0.25">
      <c r="A34" s="51" t="s">
        <v>253</v>
      </c>
      <c r="B34" s="53"/>
    </row>
    <row r="35" spans="1:2" ht="12" customHeight="1" x14ac:dyDescent="0.25">
      <c r="A35" s="51" t="s">
        <v>2</v>
      </c>
      <c r="B35" s="52"/>
    </row>
    <row r="36" spans="1:2" ht="12" customHeight="1" x14ac:dyDescent="0.25">
      <c r="A36" s="54" t="s">
        <v>256</v>
      </c>
      <c r="B36" s="55"/>
    </row>
    <row r="37" spans="1:2" ht="12" customHeight="1" x14ac:dyDescent="0.25">
      <c r="A37" s="49" t="s">
        <v>252</v>
      </c>
      <c r="B37" s="50"/>
    </row>
    <row r="38" spans="1:2" ht="12" customHeight="1" x14ac:dyDescent="0.25">
      <c r="A38" s="51" t="s">
        <v>3</v>
      </c>
      <c r="B38" s="52"/>
    </row>
    <row r="39" spans="1:2" ht="12" customHeight="1" x14ac:dyDescent="0.25">
      <c r="A39" s="51" t="s">
        <v>253</v>
      </c>
      <c r="B39" s="53"/>
    </row>
    <row r="40" spans="1:2" ht="12" customHeight="1" x14ac:dyDescent="0.25">
      <c r="A40" s="51" t="s">
        <v>2</v>
      </c>
      <c r="B40" s="52"/>
    </row>
    <row r="41" spans="1:2" ht="12" customHeight="1" x14ac:dyDescent="0.25">
      <c r="A41" s="54" t="s">
        <v>256</v>
      </c>
      <c r="B41" s="55"/>
    </row>
    <row r="42" spans="1:2" ht="22.5" customHeight="1" x14ac:dyDescent="0.25">
      <c r="A42" s="56" t="s">
        <v>254</v>
      </c>
      <c r="B42" s="57"/>
    </row>
    <row r="43" spans="1:2" ht="78.75" customHeight="1" x14ac:dyDescent="0.25">
      <c r="A43" s="44" t="s">
        <v>255</v>
      </c>
      <c r="B43" s="43"/>
    </row>
    <row r="44" spans="1:2" ht="22.5" customHeight="1" x14ac:dyDescent="0.25">
      <c r="A44" s="42" t="s">
        <v>9</v>
      </c>
      <c r="B44" s="45"/>
    </row>
    <row r="45" spans="1:2" ht="22.5" customHeight="1" x14ac:dyDescent="0.25">
      <c r="A45" s="42" t="s">
        <v>257</v>
      </c>
      <c r="B45" s="43"/>
    </row>
    <row r="46" spans="1:2" ht="22.5" customHeight="1" x14ac:dyDescent="0.25">
      <c r="A46" s="42" t="s">
        <v>7</v>
      </c>
      <c r="B46" s="43"/>
    </row>
    <row r="47" spans="1:2" ht="22.5" customHeight="1" x14ac:dyDescent="0.25">
      <c r="A47" s="42" t="s">
        <v>258</v>
      </c>
      <c r="B47" s="43"/>
    </row>
    <row r="48" spans="1:2" ht="22.5" customHeight="1" x14ac:dyDescent="0.25">
      <c r="A48" s="46" t="s">
        <v>238</v>
      </c>
      <c r="B48" s="47"/>
    </row>
    <row r="49" spans="1:1" x14ac:dyDescent="0.25">
      <c r="A49" s="48"/>
    </row>
    <row r="50" spans="1:1" x14ac:dyDescent="0.25">
      <c r="A50" s="48"/>
    </row>
    <row r="51" spans="1:1" x14ac:dyDescent="0.25">
      <c r="A51" s="48"/>
    </row>
    <row r="52" spans="1:1" x14ac:dyDescent="0.25">
      <c r="A52" s="48"/>
    </row>
    <row r="53" spans="1:1" x14ac:dyDescent="0.25">
      <c r="A53" s="48"/>
    </row>
    <row r="54" spans="1:1" x14ac:dyDescent="0.25">
      <c r="A54" s="48"/>
    </row>
    <row r="55" spans="1:1" x14ac:dyDescent="0.25">
      <c r="A55" s="48"/>
    </row>
    <row r="56" spans="1:1" x14ac:dyDescent="0.25">
      <c r="A56" s="48"/>
    </row>
    <row r="57" spans="1:1" x14ac:dyDescent="0.25">
      <c r="A57" s="48"/>
    </row>
  </sheetData>
  <mergeCells count="1">
    <mergeCell ref="A1:B1"/>
  </mergeCells>
  <pageMargins left="0.7" right="0.7" top="0.75" bottom="0.75" header="0.3" footer="0.3"/>
  <pageSetup paperSize="9" orientation="portrait" r:id="rId1"/>
  <headerFooter>
    <oddHeader xml:space="preserve">&amp;C&amp;9Transplant Laboratory, Leicester General Hospital, University Hospitals of Leicester&amp;11
</oddHeader>
    <oddFooter>&amp;CItem catalogue v1 Mar 2021</oddFooter>
  </headerFooter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5" tint="0.59999389629810485"/>
  </sheetPr>
  <dimension ref="A1:G97"/>
  <sheetViews>
    <sheetView workbookViewId="0">
      <selection activeCell="B13" sqref="B13"/>
    </sheetView>
  </sheetViews>
  <sheetFormatPr defaultRowHeight="15" x14ac:dyDescent="0.25"/>
  <cols>
    <col min="1" max="1" width="33.42578125" style="21" customWidth="1"/>
    <col min="2" max="2" width="50.42578125" customWidth="1"/>
    <col min="3" max="3" width="14.5703125" style="22" customWidth="1"/>
    <col min="4" max="4" width="33.140625" customWidth="1"/>
    <col min="5" max="5" width="18.7109375" bestFit="1" customWidth="1"/>
    <col min="6" max="6" width="17.42578125" customWidth="1"/>
    <col min="7" max="7" width="14.28515625" customWidth="1"/>
  </cols>
  <sheetData>
    <row r="1" spans="1:7" s="12" customFormat="1" ht="39" customHeight="1" x14ac:dyDescent="0.3">
      <c r="A1" s="58" t="s">
        <v>259</v>
      </c>
      <c r="B1" s="59" t="s">
        <v>260</v>
      </c>
      <c r="C1" s="60" t="s">
        <v>261</v>
      </c>
      <c r="D1" s="59" t="s">
        <v>262</v>
      </c>
      <c r="E1" s="59" t="s">
        <v>263</v>
      </c>
      <c r="F1" s="59" t="s">
        <v>264</v>
      </c>
      <c r="G1" s="59" t="s">
        <v>265</v>
      </c>
    </row>
    <row r="2" spans="1:7" s="16" customFormat="1" ht="24.95" customHeight="1" x14ac:dyDescent="0.25">
      <c r="A2" s="13" t="s">
        <v>266</v>
      </c>
      <c r="B2" s="16" t="s">
        <v>267</v>
      </c>
      <c r="C2" s="15" t="s">
        <v>268</v>
      </c>
    </row>
    <row r="3" spans="1:7" s="16" customFormat="1" ht="24.95" customHeight="1" x14ac:dyDescent="0.25">
      <c r="A3" s="13" t="s">
        <v>126</v>
      </c>
      <c r="B3" s="16" t="s">
        <v>269</v>
      </c>
      <c r="C3" s="15" t="s">
        <v>270</v>
      </c>
      <c r="D3" s="61" t="s">
        <v>271</v>
      </c>
    </row>
    <row r="4" spans="1:7" s="16" customFormat="1" ht="24.95" customHeight="1" x14ac:dyDescent="0.25">
      <c r="A4" s="13" t="s">
        <v>169</v>
      </c>
      <c r="B4" s="16" t="s">
        <v>272</v>
      </c>
      <c r="C4" s="15" t="s">
        <v>273</v>
      </c>
    </row>
    <row r="5" spans="1:7" s="16" customFormat="1" ht="24.95" customHeight="1" x14ac:dyDescent="0.25">
      <c r="A5" s="13" t="s">
        <v>118</v>
      </c>
      <c r="B5" s="16" t="s">
        <v>274</v>
      </c>
      <c r="C5" s="15" t="s">
        <v>275</v>
      </c>
      <c r="D5" s="61" t="s">
        <v>276</v>
      </c>
    </row>
    <row r="6" spans="1:7" s="16" customFormat="1" ht="24.95" customHeight="1" x14ac:dyDescent="0.25">
      <c r="A6" s="13" t="s">
        <v>277</v>
      </c>
      <c r="B6" s="16" t="s">
        <v>278</v>
      </c>
      <c r="C6" s="15" t="s">
        <v>279</v>
      </c>
    </row>
    <row r="7" spans="1:7" s="16" customFormat="1" ht="24.95" customHeight="1" x14ac:dyDescent="0.25">
      <c r="A7" s="13" t="s">
        <v>173</v>
      </c>
      <c r="B7" s="16" t="s">
        <v>280</v>
      </c>
      <c r="C7" s="15" t="s">
        <v>281</v>
      </c>
    </row>
    <row r="8" spans="1:7" s="16" customFormat="1" ht="24.95" customHeight="1" x14ac:dyDescent="0.25">
      <c r="A8" s="13" t="s">
        <v>282</v>
      </c>
      <c r="B8" s="16" t="s">
        <v>283</v>
      </c>
      <c r="C8" s="15" t="s">
        <v>284</v>
      </c>
      <c r="D8" s="61" t="s">
        <v>285</v>
      </c>
    </row>
    <row r="9" spans="1:7" s="16" customFormat="1" ht="24.95" customHeight="1" x14ac:dyDescent="0.25">
      <c r="A9" s="13" t="s">
        <v>103</v>
      </c>
      <c r="B9" s="16" t="s">
        <v>286</v>
      </c>
      <c r="C9" s="15" t="s">
        <v>287</v>
      </c>
      <c r="D9" s="61" t="s">
        <v>288</v>
      </c>
    </row>
    <row r="10" spans="1:7" s="16" customFormat="1" ht="24.95" customHeight="1" x14ac:dyDescent="0.25">
      <c r="A10" s="13" t="s">
        <v>181</v>
      </c>
      <c r="B10" s="16" t="s">
        <v>289</v>
      </c>
      <c r="C10" s="15" t="s">
        <v>290</v>
      </c>
      <c r="D10" s="61" t="s">
        <v>291</v>
      </c>
    </row>
    <row r="11" spans="1:7" s="16" customFormat="1" ht="24.95" customHeight="1" x14ac:dyDescent="0.25">
      <c r="A11" s="13" t="s">
        <v>27</v>
      </c>
      <c r="B11" s="16" t="s">
        <v>292</v>
      </c>
      <c r="C11" s="15" t="s">
        <v>293</v>
      </c>
    </row>
    <row r="12" spans="1:7" s="16" customFormat="1" ht="24.95" customHeight="1" x14ac:dyDescent="0.25">
      <c r="A12" s="13" t="s">
        <v>19</v>
      </c>
      <c r="B12" s="16" t="s">
        <v>294</v>
      </c>
      <c r="C12" s="15" t="s">
        <v>295</v>
      </c>
      <c r="D12" s="61" t="s">
        <v>296</v>
      </c>
    </row>
    <row r="13" spans="1:7" s="16" customFormat="1" ht="24.95" customHeight="1" x14ac:dyDescent="0.25">
      <c r="A13" s="13" t="s">
        <v>141</v>
      </c>
      <c r="B13" s="16" t="s">
        <v>297</v>
      </c>
      <c r="C13" s="15" t="s">
        <v>298</v>
      </c>
      <c r="F13" s="63"/>
    </row>
    <row r="14" spans="1:7" s="16" customFormat="1" ht="24.95" customHeight="1" x14ac:dyDescent="0.25">
      <c r="A14" s="62" t="s">
        <v>39</v>
      </c>
      <c r="B14" s="16" t="s">
        <v>299</v>
      </c>
      <c r="C14" s="15" t="s">
        <v>300</v>
      </c>
      <c r="G14" s="63"/>
    </row>
    <row r="15" spans="1:7" s="16" customFormat="1" ht="24.95" customHeight="1" x14ac:dyDescent="0.25">
      <c r="A15" s="62" t="s">
        <v>60</v>
      </c>
      <c r="B15" s="16" t="s">
        <v>301</v>
      </c>
      <c r="C15" s="15" t="s">
        <v>302</v>
      </c>
      <c r="D15" s="61" t="s">
        <v>303</v>
      </c>
      <c r="E15" s="61"/>
    </row>
    <row r="16" spans="1:7" s="16" customFormat="1" ht="24.95" customHeight="1" x14ac:dyDescent="0.25">
      <c r="A16" s="13" t="s">
        <v>14</v>
      </c>
      <c r="B16" s="16" t="s">
        <v>304</v>
      </c>
      <c r="C16" s="15" t="s">
        <v>305</v>
      </c>
      <c r="D16" s="61" t="s">
        <v>306</v>
      </c>
    </row>
    <row r="17" spans="1:6" s="16" customFormat="1" ht="24.95" customHeight="1" x14ac:dyDescent="0.25">
      <c r="A17" s="13" t="s">
        <v>54</v>
      </c>
      <c r="B17" s="16" t="s">
        <v>307</v>
      </c>
      <c r="C17" s="15" t="s">
        <v>308</v>
      </c>
      <c r="D17" s="61" t="s">
        <v>309</v>
      </c>
    </row>
    <row r="18" spans="1:6" s="16" customFormat="1" ht="24.95" customHeight="1" x14ac:dyDescent="0.25">
      <c r="A18" s="13" t="s">
        <v>48</v>
      </c>
      <c r="B18" s="16" t="s">
        <v>310</v>
      </c>
      <c r="C18" s="15" t="s">
        <v>311</v>
      </c>
      <c r="D18" s="61" t="s">
        <v>312</v>
      </c>
    </row>
    <row r="19" spans="1:6" s="16" customFormat="1" ht="24.95" customHeight="1" x14ac:dyDescent="0.25">
      <c r="A19" s="13" t="s">
        <v>72</v>
      </c>
      <c r="B19" s="16" t="s">
        <v>313</v>
      </c>
      <c r="C19" s="16" t="s">
        <v>314</v>
      </c>
    </row>
    <row r="20" spans="1:6" s="16" customFormat="1" ht="24.95" customHeight="1" x14ac:dyDescent="0.25">
      <c r="A20" s="62" t="s">
        <v>25</v>
      </c>
      <c r="C20" s="15" t="s">
        <v>433</v>
      </c>
      <c r="D20" s="61" t="s">
        <v>434</v>
      </c>
    </row>
    <row r="21" spans="1:6" s="16" customFormat="1" ht="24.95" customHeight="1" x14ac:dyDescent="0.25">
      <c r="A21" s="13" t="s">
        <v>432</v>
      </c>
      <c r="C21" s="15"/>
    </row>
    <row r="22" spans="1:6" s="16" customFormat="1" ht="24.95" customHeight="1" x14ac:dyDescent="0.25">
      <c r="A22" s="13" t="s">
        <v>439</v>
      </c>
      <c r="B22" s="16" t="s">
        <v>438</v>
      </c>
      <c r="C22" s="15" t="s">
        <v>437</v>
      </c>
      <c r="F22" s="16">
        <v>28034</v>
      </c>
    </row>
    <row r="23" spans="1:6" s="16" customFormat="1" ht="24.95" customHeight="1" x14ac:dyDescent="0.25">
      <c r="A23" s="13" t="s">
        <v>441</v>
      </c>
      <c r="B23" s="16" t="s">
        <v>442</v>
      </c>
      <c r="C23" s="15" t="s">
        <v>443</v>
      </c>
    </row>
    <row r="24" spans="1:6" s="16" customFormat="1" ht="24.95" customHeight="1" x14ac:dyDescent="0.25">
      <c r="A24" s="13"/>
      <c r="C24" s="15"/>
    </row>
    <row r="25" spans="1:6" s="16" customFormat="1" ht="24.95" customHeight="1" x14ac:dyDescent="0.25">
      <c r="A25" s="13"/>
      <c r="C25" s="15"/>
    </row>
    <row r="26" spans="1:6" s="16" customFormat="1" ht="24.95" customHeight="1" x14ac:dyDescent="0.25">
      <c r="A26" s="13"/>
      <c r="C26" s="15"/>
    </row>
    <row r="27" spans="1:6" s="16" customFormat="1" ht="24.95" customHeight="1" x14ac:dyDescent="0.25">
      <c r="A27" s="13"/>
      <c r="C27" s="15"/>
    </row>
    <row r="28" spans="1:6" s="16" customFormat="1" ht="24.95" customHeight="1" x14ac:dyDescent="0.25">
      <c r="A28" s="13"/>
      <c r="C28" s="15"/>
    </row>
    <row r="29" spans="1:6" s="16" customFormat="1" ht="24.95" customHeight="1" x14ac:dyDescent="0.25">
      <c r="A29" s="13"/>
      <c r="C29" s="15"/>
    </row>
    <row r="30" spans="1:6" s="16" customFormat="1" ht="24.95" customHeight="1" x14ac:dyDescent="0.25">
      <c r="A30" s="13"/>
      <c r="C30" s="15"/>
    </row>
    <row r="31" spans="1:6" s="16" customFormat="1" ht="24.95" customHeight="1" x14ac:dyDescent="0.25">
      <c r="A31" s="13"/>
      <c r="C31" s="15"/>
    </row>
    <row r="32" spans="1:6" s="16" customFormat="1" ht="24.95" customHeight="1" x14ac:dyDescent="0.25">
      <c r="A32" s="13"/>
      <c r="C32" s="15"/>
    </row>
    <row r="33" spans="1:3" s="16" customFormat="1" ht="24.95" customHeight="1" x14ac:dyDescent="0.25">
      <c r="A33" s="13"/>
      <c r="C33" s="15"/>
    </row>
    <row r="34" spans="1:3" s="16" customFormat="1" ht="24.95" customHeight="1" x14ac:dyDescent="0.25">
      <c r="A34" s="13"/>
      <c r="C34" s="15"/>
    </row>
    <row r="35" spans="1:3" s="16" customFormat="1" ht="24.95" customHeight="1" x14ac:dyDescent="0.25">
      <c r="A35" s="13"/>
      <c r="C35" s="15"/>
    </row>
    <row r="36" spans="1:3" s="16" customFormat="1" ht="24.95" customHeight="1" x14ac:dyDescent="0.25">
      <c r="A36" s="13"/>
      <c r="C36" s="15"/>
    </row>
    <row r="37" spans="1:3" s="16" customFormat="1" ht="24.95" customHeight="1" x14ac:dyDescent="0.25">
      <c r="A37" s="13"/>
      <c r="C37" s="15"/>
    </row>
    <row r="38" spans="1:3" s="16" customFormat="1" ht="24.95" customHeight="1" x14ac:dyDescent="0.25">
      <c r="A38" s="13"/>
      <c r="C38" s="15"/>
    </row>
    <row r="39" spans="1:3" s="16" customFormat="1" ht="24.95" customHeight="1" x14ac:dyDescent="0.25">
      <c r="A39" s="13"/>
      <c r="C39" s="15"/>
    </row>
    <row r="40" spans="1:3" s="16" customFormat="1" ht="24.95" customHeight="1" x14ac:dyDescent="0.25">
      <c r="A40" s="13"/>
      <c r="C40" s="15"/>
    </row>
    <row r="41" spans="1:3" s="16" customFormat="1" ht="24.95" customHeight="1" x14ac:dyDescent="0.25">
      <c r="A41" s="13"/>
      <c r="C41" s="15"/>
    </row>
    <row r="42" spans="1:3" s="16" customFormat="1" ht="24.95" customHeight="1" x14ac:dyDescent="0.25">
      <c r="A42" s="13"/>
      <c r="C42" s="15"/>
    </row>
    <row r="43" spans="1:3" s="16" customFormat="1" ht="24.95" customHeight="1" x14ac:dyDescent="0.25">
      <c r="A43" s="13"/>
      <c r="C43" s="15"/>
    </row>
    <row r="44" spans="1:3" s="16" customFormat="1" ht="24.95" customHeight="1" x14ac:dyDescent="0.25">
      <c r="A44" s="13"/>
      <c r="C44" s="15"/>
    </row>
    <row r="45" spans="1:3" s="16" customFormat="1" ht="24.95" customHeight="1" x14ac:dyDescent="0.25">
      <c r="A45" s="13"/>
      <c r="C45" s="15"/>
    </row>
    <row r="46" spans="1:3" s="16" customFormat="1" ht="24.95" customHeight="1" x14ac:dyDescent="0.25">
      <c r="A46" s="13"/>
      <c r="C46" s="15"/>
    </row>
    <row r="47" spans="1:3" s="16" customFormat="1" ht="24.95" customHeight="1" x14ac:dyDescent="0.25">
      <c r="A47" s="13"/>
      <c r="C47" s="15"/>
    </row>
    <row r="48" spans="1:3" s="16" customFormat="1" ht="24.95" customHeight="1" x14ac:dyDescent="0.25">
      <c r="A48" s="13"/>
      <c r="C48" s="15"/>
    </row>
    <row r="49" spans="1:3" s="16" customFormat="1" ht="24.95" customHeight="1" x14ac:dyDescent="0.25">
      <c r="A49" s="13"/>
      <c r="C49" s="15"/>
    </row>
    <row r="50" spans="1:3" s="16" customFormat="1" ht="24.95" customHeight="1" x14ac:dyDescent="0.25">
      <c r="A50" s="13"/>
      <c r="C50" s="15"/>
    </row>
    <row r="51" spans="1:3" s="16" customFormat="1" ht="24.95" customHeight="1" x14ac:dyDescent="0.25">
      <c r="A51" s="13"/>
      <c r="C51" s="15"/>
    </row>
    <row r="52" spans="1:3" s="16" customFormat="1" ht="24.95" customHeight="1" x14ac:dyDescent="0.25">
      <c r="A52" s="13"/>
      <c r="C52" s="15"/>
    </row>
    <row r="53" spans="1:3" s="16" customFormat="1" ht="24.95" customHeight="1" x14ac:dyDescent="0.25">
      <c r="A53" s="13"/>
      <c r="C53" s="15"/>
    </row>
    <row r="54" spans="1:3" s="16" customFormat="1" ht="24.95" customHeight="1" x14ac:dyDescent="0.25">
      <c r="A54" s="13"/>
      <c r="C54" s="15"/>
    </row>
    <row r="55" spans="1:3" s="16" customFormat="1" ht="24.95" customHeight="1" x14ac:dyDescent="0.25">
      <c r="A55" s="13"/>
      <c r="C55" s="15"/>
    </row>
    <row r="56" spans="1:3" s="16" customFormat="1" ht="24.95" customHeight="1" x14ac:dyDescent="0.25">
      <c r="A56" s="13"/>
      <c r="C56" s="15"/>
    </row>
    <row r="57" spans="1:3" s="16" customFormat="1" ht="24.95" customHeight="1" x14ac:dyDescent="0.25">
      <c r="A57" s="13"/>
      <c r="C57" s="15"/>
    </row>
    <row r="58" spans="1:3" s="16" customFormat="1" ht="24.95" customHeight="1" x14ac:dyDescent="0.25">
      <c r="A58" s="13"/>
      <c r="C58" s="15"/>
    </row>
    <row r="59" spans="1:3" s="16" customFormat="1" ht="24.95" customHeight="1" x14ac:dyDescent="0.25">
      <c r="A59" s="13"/>
      <c r="C59" s="15"/>
    </row>
    <row r="60" spans="1:3" s="16" customFormat="1" ht="24.95" customHeight="1" x14ac:dyDescent="0.25">
      <c r="A60" s="13"/>
      <c r="C60" s="15"/>
    </row>
    <row r="61" spans="1:3" s="16" customFormat="1" ht="24.95" customHeight="1" x14ac:dyDescent="0.25">
      <c r="A61" s="13"/>
      <c r="C61" s="15"/>
    </row>
    <row r="62" spans="1:3" s="16" customFormat="1" ht="24.95" customHeight="1" x14ac:dyDescent="0.25">
      <c r="A62" s="13"/>
      <c r="C62" s="15"/>
    </row>
    <row r="63" spans="1:3" s="16" customFormat="1" ht="24.95" customHeight="1" x14ac:dyDescent="0.25">
      <c r="A63" s="13"/>
      <c r="C63" s="15"/>
    </row>
    <row r="64" spans="1:3" s="16" customFormat="1" ht="24.95" customHeight="1" x14ac:dyDescent="0.25">
      <c r="A64" s="13"/>
      <c r="C64" s="15"/>
    </row>
    <row r="65" spans="1:3" s="16" customFormat="1" ht="24.95" customHeight="1" x14ac:dyDescent="0.25">
      <c r="A65" s="13"/>
      <c r="C65" s="15"/>
    </row>
    <row r="66" spans="1:3" s="16" customFormat="1" ht="24.95" customHeight="1" x14ac:dyDescent="0.25">
      <c r="A66" s="13"/>
      <c r="C66" s="15"/>
    </row>
    <row r="67" spans="1:3" s="16" customFormat="1" ht="24.95" customHeight="1" x14ac:dyDescent="0.25">
      <c r="A67" s="13"/>
      <c r="C67" s="15"/>
    </row>
    <row r="68" spans="1:3" s="16" customFormat="1" ht="24.95" customHeight="1" x14ac:dyDescent="0.25">
      <c r="A68" s="13"/>
      <c r="C68" s="15"/>
    </row>
    <row r="69" spans="1:3" s="16" customFormat="1" ht="24.95" customHeight="1" x14ac:dyDescent="0.25">
      <c r="A69" s="13"/>
      <c r="C69" s="15"/>
    </row>
    <row r="70" spans="1:3" s="16" customFormat="1" ht="24.95" customHeight="1" x14ac:dyDescent="0.25">
      <c r="A70" s="13"/>
      <c r="C70" s="15"/>
    </row>
    <row r="71" spans="1:3" s="16" customFormat="1" ht="24.95" customHeight="1" x14ac:dyDescent="0.25">
      <c r="A71" s="13"/>
      <c r="C71" s="15"/>
    </row>
    <row r="72" spans="1:3" s="16" customFormat="1" ht="24.95" customHeight="1" x14ac:dyDescent="0.25">
      <c r="A72" s="13"/>
      <c r="C72" s="15"/>
    </row>
    <row r="73" spans="1:3" s="16" customFormat="1" ht="24.95" customHeight="1" x14ac:dyDescent="0.25">
      <c r="A73" s="13"/>
      <c r="C73" s="15"/>
    </row>
    <row r="74" spans="1:3" s="16" customFormat="1" ht="24.95" customHeight="1" x14ac:dyDescent="0.25">
      <c r="A74" s="13"/>
      <c r="C74" s="15"/>
    </row>
    <row r="75" spans="1:3" s="16" customFormat="1" ht="24.95" customHeight="1" x14ac:dyDescent="0.25">
      <c r="A75" s="13"/>
      <c r="C75" s="15"/>
    </row>
    <row r="76" spans="1:3" s="16" customFormat="1" ht="24.95" customHeight="1" x14ac:dyDescent="0.25">
      <c r="A76" s="13"/>
      <c r="C76" s="15"/>
    </row>
    <row r="77" spans="1:3" s="16" customFormat="1" ht="24.95" customHeight="1" x14ac:dyDescent="0.25">
      <c r="A77" s="13"/>
      <c r="C77" s="15"/>
    </row>
    <row r="78" spans="1:3" s="16" customFormat="1" ht="24.95" customHeight="1" x14ac:dyDescent="0.25">
      <c r="A78" s="13"/>
      <c r="C78" s="15"/>
    </row>
    <row r="79" spans="1:3" s="16" customFormat="1" ht="24.95" customHeight="1" x14ac:dyDescent="0.25">
      <c r="A79" s="13"/>
      <c r="C79" s="15"/>
    </row>
    <row r="80" spans="1:3" s="16" customFormat="1" ht="24.95" customHeight="1" x14ac:dyDescent="0.25">
      <c r="A80" s="13"/>
      <c r="C80" s="15"/>
    </row>
    <row r="81" spans="1:3" s="16" customFormat="1" ht="24.95" customHeight="1" x14ac:dyDescent="0.25">
      <c r="A81" s="13"/>
      <c r="C81" s="15"/>
    </row>
    <row r="82" spans="1:3" s="16" customFormat="1" ht="24.95" customHeight="1" x14ac:dyDescent="0.25">
      <c r="A82" s="13"/>
      <c r="C82" s="15"/>
    </row>
    <row r="83" spans="1:3" s="16" customFormat="1" ht="24.95" customHeight="1" x14ac:dyDescent="0.25">
      <c r="A83" s="13"/>
      <c r="C83" s="15"/>
    </row>
    <row r="84" spans="1:3" s="16" customFormat="1" ht="24.95" customHeight="1" x14ac:dyDescent="0.25">
      <c r="A84" s="13"/>
      <c r="C84" s="15"/>
    </row>
    <row r="85" spans="1:3" s="16" customFormat="1" ht="24.95" customHeight="1" x14ac:dyDescent="0.25">
      <c r="A85" s="13"/>
      <c r="C85" s="15"/>
    </row>
    <row r="86" spans="1:3" s="16" customFormat="1" ht="24.95" customHeight="1" x14ac:dyDescent="0.25">
      <c r="A86" s="13"/>
      <c r="C86" s="15"/>
    </row>
    <row r="87" spans="1:3" s="16" customFormat="1" ht="24.95" customHeight="1" x14ac:dyDescent="0.25">
      <c r="A87" s="13"/>
      <c r="C87" s="15"/>
    </row>
    <row r="88" spans="1:3" s="16" customFormat="1" ht="24.95" customHeight="1" x14ac:dyDescent="0.25">
      <c r="A88" s="13"/>
      <c r="C88" s="15"/>
    </row>
    <row r="89" spans="1:3" s="16" customFormat="1" ht="24.95" customHeight="1" x14ac:dyDescent="0.25">
      <c r="A89" s="13"/>
      <c r="C89" s="15"/>
    </row>
    <row r="90" spans="1:3" s="16" customFormat="1" ht="24.95" customHeight="1" x14ac:dyDescent="0.25">
      <c r="A90" s="13"/>
      <c r="C90" s="15"/>
    </row>
    <row r="91" spans="1:3" s="16" customFormat="1" ht="24.95" customHeight="1" x14ac:dyDescent="0.25">
      <c r="A91" s="13"/>
      <c r="C91" s="15"/>
    </row>
    <row r="92" spans="1:3" s="16" customFormat="1" ht="24.95" customHeight="1" x14ac:dyDescent="0.25">
      <c r="A92" s="13"/>
      <c r="C92" s="15"/>
    </row>
    <row r="93" spans="1:3" s="16" customFormat="1" ht="24.95" customHeight="1" x14ac:dyDescent="0.25">
      <c r="A93" s="13"/>
      <c r="C93" s="15"/>
    </row>
    <row r="94" spans="1:3" s="16" customFormat="1" ht="24.95" customHeight="1" x14ac:dyDescent="0.25">
      <c r="A94" s="13"/>
      <c r="C94" s="15"/>
    </row>
    <row r="95" spans="1:3" s="16" customFormat="1" ht="24.95" customHeight="1" x14ac:dyDescent="0.25">
      <c r="A95" s="13"/>
      <c r="C95" s="15"/>
    </row>
    <row r="96" spans="1:3" s="16" customFormat="1" ht="24.95" customHeight="1" x14ac:dyDescent="0.25">
      <c r="A96" s="13"/>
      <c r="C96" s="15"/>
    </row>
    <row r="97" spans="1:3" s="16" customFormat="1" ht="24.95" customHeight="1" x14ac:dyDescent="0.25">
      <c r="A97" s="13"/>
      <c r="C97" s="15"/>
    </row>
  </sheetData>
  <hyperlinks>
    <hyperlink ref="D3" r:id="rId1"/>
    <hyperlink ref="D10" r:id="rId2"/>
    <hyperlink ref="D17" r:id="rId3"/>
    <hyperlink ref="D18" r:id="rId4"/>
    <hyperlink ref="D5" r:id="rId5" display="mailto:antibody_orders_uk@bio-rad.com"/>
    <hyperlink ref="D12" r:id="rId6"/>
    <hyperlink ref="D16" r:id="rId7"/>
    <hyperlink ref="D8" r:id="rId8"/>
    <hyperlink ref="D9" r:id="rId9"/>
    <hyperlink ref="D20" r:id="rId10" display="mailto:BDUK_customerservice@bd.com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5" tint="0.59999389629810485"/>
  </sheetPr>
  <dimension ref="A1:E47"/>
  <sheetViews>
    <sheetView view="pageLayout" topLeftCell="A16" zoomScaleNormal="100" workbookViewId="0">
      <selection activeCell="C37" sqref="C37"/>
    </sheetView>
  </sheetViews>
  <sheetFormatPr defaultRowHeight="15" x14ac:dyDescent="0.25"/>
  <cols>
    <col min="1" max="1" width="8" style="35" customWidth="1"/>
    <col min="2" max="2" width="25.85546875" style="35" customWidth="1"/>
    <col min="3" max="3" width="39.140625" style="35" customWidth="1"/>
    <col min="4" max="4" width="11.85546875" style="35" customWidth="1"/>
    <col min="5" max="5" width="9.85546875" style="35" customWidth="1"/>
    <col min="6" max="16384" width="9.140625" style="35"/>
  </cols>
  <sheetData>
    <row r="1" spans="1:5" ht="18.75" x14ac:dyDescent="0.25">
      <c r="A1" s="100" t="s">
        <v>319</v>
      </c>
      <c r="B1" s="101"/>
      <c r="C1" s="101"/>
      <c r="D1" s="101"/>
      <c r="E1" s="101"/>
    </row>
    <row r="2" spans="1:5" ht="18.75" x14ac:dyDescent="0.3">
      <c r="A2" s="65" t="s">
        <v>320</v>
      </c>
      <c r="B2" s="66" t="s">
        <v>321</v>
      </c>
      <c r="C2" s="67" t="s">
        <v>223</v>
      </c>
      <c r="D2" s="66" t="s">
        <v>322</v>
      </c>
      <c r="E2" s="66" t="s">
        <v>323</v>
      </c>
    </row>
    <row r="3" spans="1:5" x14ac:dyDescent="0.25">
      <c r="A3" s="68"/>
      <c r="B3" s="69" t="s">
        <v>324</v>
      </c>
      <c r="C3" s="68" t="s">
        <v>325</v>
      </c>
      <c r="D3" s="70">
        <v>80</v>
      </c>
      <c r="E3" s="71" t="s">
        <v>326</v>
      </c>
    </row>
    <row r="4" spans="1:5" x14ac:dyDescent="0.25">
      <c r="A4" s="72"/>
      <c r="B4" s="73" t="s">
        <v>327</v>
      </c>
      <c r="C4" s="72" t="s">
        <v>328</v>
      </c>
      <c r="D4" s="74">
        <v>414</v>
      </c>
      <c r="E4" s="75">
        <v>1</v>
      </c>
    </row>
    <row r="5" spans="1:5" x14ac:dyDescent="0.25">
      <c r="A5" s="72"/>
      <c r="B5" s="73" t="s">
        <v>329</v>
      </c>
      <c r="C5" s="72" t="s">
        <v>330</v>
      </c>
      <c r="D5" s="74">
        <v>469</v>
      </c>
      <c r="E5" s="75">
        <v>1</v>
      </c>
    </row>
    <row r="6" spans="1:5" x14ac:dyDescent="0.25">
      <c r="A6" s="72"/>
      <c r="B6" s="73" t="s">
        <v>331</v>
      </c>
      <c r="C6" s="72" t="s">
        <v>332</v>
      </c>
      <c r="D6" s="74">
        <v>2378</v>
      </c>
      <c r="E6" s="75">
        <v>1</v>
      </c>
    </row>
    <row r="7" spans="1:5" x14ac:dyDescent="0.25">
      <c r="A7" s="72"/>
      <c r="B7" s="73" t="s">
        <v>333</v>
      </c>
      <c r="C7" s="72" t="s">
        <v>334</v>
      </c>
      <c r="D7" s="74">
        <v>2134</v>
      </c>
      <c r="E7" s="75">
        <v>1</v>
      </c>
    </row>
    <row r="8" spans="1:5" x14ac:dyDescent="0.25">
      <c r="A8" s="72"/>
      <c r="B8" s="73" t="s">
        <v>335</v>
      </c>
      <c r="C8" s="72" t="s">
        <v>336</v>
      </c>
      <c r="D8" s="74">
        <v>346</v>
      </c>
      <c r="E8" s="75" t="s">
        <v>337</v>
      </c>
    </row>
    <row r="9" spans="1:5" x14ac:dyDescent="0.25">
      <c r="A9" s="72"/>
      <c r="B9" s="73" t="s">
        <v>338</v>
      </c>
      <c r="C9" s="72" t="s">
        <v>339</v>
      </c>
      <c r="D9" s="74">
        <v>1150</v>
      </c>
      <c r="E9" s="75" t="s">
        <v>79</v>
      </c>
    </row>
    <row r="10" spans="1:5" x14ac:dyDescent="0.25">
      <c r="A10" s="72"/>
      <c r="B10" s="73" t="s">
        <v>340</v>
      </c>
      <c r="C10" s="72" t="s">
        <v>341</v>
      </c>
      <c r="D10" s="74">
        <v>98</v>
      </c>
      <c r="E10" s="75" t="s">
        <v>342</v>
      </c>
    </row>
    <row r="11" spans="1:5" x14ac:dyDescent="0.25">
      <c r="A11" s="72"/>
      <c r="B11" s="73" t="s">
        <v>343</v>
      </c>
      <c r="C11" s="72" t="s">
        <v>344</v>
      </c>
      <c r="D11" s="74">
        <v>205</v>
      </c>
      <c r="E11" s="75" t="s">
        <v>56</v>
      </c>
    </row>
    <row r="12" spans="1:5" x14ac:dyDescent="0.25">
      <c r="A12" s="72"/>
      <c r="B12" s="73" t="s">
        <v>345</v>
      </c>
      <c r="C12" s="72" t="s">
        <v>346</v>
      </c>
      <c r="D12" s="74">
        <v>442</v>
      </c>
      <c r="E12" s="75" t="s">
        <v>347</v>
      </c>
    </row>
    <row r="13" spans="1:5" x14ac:dyDescent="0.25">
      <c r="A13" s="72"/>
      <c r="B13" s="73" t="s">
        <v>348</v>
      </c>
      <c r="C13" s="76" t="s">
        <v>349</v>
      </c>
      <c r="D13" s="74">
        <v>442</v>
      </c>
      <c r="E13" s="75" t="s">
        <v>350</v>
      </c>
    </row>
    <row r="14" spans="1:5" x14ac:dyDescent="0.25">
      <c r="A14" s="72"/>
      <c r="B14" s="73" t="s">
        <v>351</v>
      </c>
      <c r="C14" s="76" t="s">
        <v>352</v>
      </c>
      <c r="D14" s="74">
        <v>442</v>
      </c>
      <c r="E14" s="75" t="s">
        <v>353</v>
      </c>
    </row>
    <row r="15" spans="1:5" ht="15" customHeight="1" x14ac:dyDescent="0.25">
      <c r="A15" s="72"/>
      <c r="B15" s="73" t="s">
        <v>354</v>
      </c>
      <c r="C15" s="72" t="s">
        <v>355</v>
      </c>
      <c r="D15" s="74">
        <v>33</v>
      </c>
      <c r="E15" s="75" t="s">
        <v>356</v>
      </c>
    </row>
    <row r="16" spans="1:5" x14ac:dyDescent="0.25">
      <c r="A16" s="72"/>
      <c r="B16" s="73" t="s">
        <v>357</v>
      </c>
      <c r="C16" s="72" t="s">
        <v>355</v>
      </c>
      <c r="D16" s="74">
        <v>41.25</v>
      </c>
      <c r="E16" s="75" t="s">
        <v>358</v>
      </c>
    </row>
    <row r="17" spans="1:5" x14ac:dyDescent="0.25">
      <c r="A17" s="72"/>
      <c r="B17" s="73" t="s">
        <v>359</v>
      </c>
      <c r="C17" s="72" t="s">
        <v>360</v>
      </c>
      <c r="D17" s="74">
        <v>43</v>
      </c>
      <c r="E17" s="75" t="s">
        <v>361</v>
      </c>
    </row>
    <row r="18" spans="1:5" x14ac:dyDescent="0.25">
      <c r="A18" s="72"/>
      <c r="B18" s="73" t="s">
        <v>362</v>
      </c>
      <c r="C18" s="72" t="s">
        <v>363</v>
      </c>
      <c r="D18" s="74">
        <v>40</v>
      </c>
      <c r="E18" s="75" t="s">
        <v>364</v>
      </c>
    </row>
    <row r="19" spans="1:5" x14ac:dyDescent="0.25">
      <c r="A19" s="72"/>
      <c r="B19" s="73" t="s">
        <v>365</v>
      </c>
      <c r="C19" s="72" t="s">
        <v>366</v>
      </c>
      <c r="D19" s="74">
        <v>100</v>
      </c>
      <c r="E19" s="75" t="s">
        <v>367</v>
      </c>
    </row>
    <row r="20" spans="1:5" x14ac:dyDescent="0.25">
      <c r="A20" s="72"/>
      <c r="B20" s="73" t="s">
        <v>368</v>
      </c>
      <c r="C20" s="72" t="s">
        <v>369</v>
      </c>
      <c r="D20" s="74">
        <v>25</v>
      </c>
      <c r="E20" s="75" t="s">
        <v>370</v>
      </c>
    </row>
    <row r="21" spans="1:5" x14ac:dyDescent="0.25">
      <c r="A21" s="72"/>
      <c r="B21" s="73" t="s">
        <v>371</v>
      </c>
      <c r="C21" s="72" t="s">
        <v>372</v>
      </c>
      <c r="D21" s="74">
        <v>351</v>
      </c>
      <c r="E21" s="75">
        <v>1</v>
      </c>
    </row>
    <row r="22" spans="1:5" x14ac:dyDescent="0.25">
      <c r="A22" s="72"/>
      <c r="B22" s="73" t="s">
        <v>373</v>
      </c>
      <c r="C22" s="72" t="s">
        <v>374</v>
      </c>
      <c r="D22" s="74">
        <v>756</v>
      </c>
      <c r="E22" s="75">
        <v>1</v>
      </c>
    </row>
    <row r="23" spans="1:5" x14ac:dyDescent="0.25">
      <c r="A23" s="72"/>
      <c r="B23" s="73" t="s">
        <v>78</v>
      </c>
      <c r="C23" s="72" t="s">
        <v>375</v>
      </c>
      <c r="D23" s="74">
        <v>1552</v>
      </c>
      <c r="E23" s="75" t="s">
        <v>376</v>
      </c>
    </row>
    <row r="24" spans="1:5" x14ac:dyDescent="0.25">
      <c r="A24" s="72"/>
      <c r="B24" s="73" t="s">
        <v>81</v>
      </c>
      <c r="C24" s="72" t="s">
        <v>377</v>
      </c>
      <c r="D24" s="74">
        <v>1552</v>
      </c>
      <c r="E24" s="75" t="s">
        <v>376</v>
      </c>
    </row>
    <row r="25" spans="1:5" x14ac:dyDescent="0.25">
      <c r="A25" s="72"/>
      <c r="B25" s="73" t="s">
        <v>83</v>
      </c>
      <c r="C25" s="72" t="s">
        <v>378</v>
      </c>
      <c r="D25" s="74">
        <v>2408</v>
      </c>
      <c r="E25" s="75" t="s">
        <v>376</v>
      </c>
    </row>
    <row r="26" spans="1:5" x14ac:dyDescent="0.25">
      <c r="A26" s="72"/>
      <c r="B26" s="73" t="s">
        <v>85</v>
      </c>
      <c r="C26" s="72" t="s">
        <v>379</v>
      </c>
      <c r="D26" s="74">
        <v>1552</v>
      </c>
      <c r="E26" s="75" t="s">
        <v>376</v>
      </c>
    </row>
    <row r="27" spans="1:5" x14ac:dyDescent="0.25">
      <c r="A27" s="72"/>
      <c r="B27" s="73" t="s">
        <v>91</v>
      </c>
      <c r="C27" s="72" t="s">
        <v>380</v>
      </c>
      <c r="D27" s="74">
        <v>1552</v>
      </c>
      <c r="E27" s="75" t="s">
        <v>376</v>
      </c>
    </row>
    <row r="28" spans="1:5" x14ac:dyDescent="0.25">
      <c r="A28" s="72"/>
      <c r="B28" s="73" t="s">
        <v>93</v>
      </c>
      <c r="C28" s="72" t="s">
        <v>381</v>
      </c>
      <c r="D28" s="74">
        <v>1552</v>
      </c>
      <c r="E28" s="75" t="s">
        <v>376</v>
      </c>
    </row>
    <row r="29" spans="1:5" x14ac:dyDescent="0.25">
      <c r="A29" s="72"/>
      <c r="B29" s="73" t="s">
        <v>87</v>
      </c>
      <c r="C29" s="72" t="s">
        <v>382</v>
      </c>
      <c r="D29" s="74">
        <v>1900</v>
      </c>
      <c r="E29" s="75" t="s">
        <v>376</v>
      </c>
    </row>
    <row r="30" spans="1:5" x14ac:dyDescent="0.25">
      <c r="A30" s="72"/>
      <c r="B30" s="73" t="s">
        <v>89</v>
      </c>
      <c r="C30" s="72" t="s">
        <v>383</v>
      </c>
      <c r="D30" s="74">
        <v>1552</v>
      </c>
      <c r="E30" s="75" t="s">
        <v>376</v>
      </c>
    </row>
    <row r="31" spans="1:5" x14ac:dyDescent="0.25">
      <c r="A31" s="72"/>
      <c r="B31" s="73" t="s">
        <v>384</v>
      </c>
      <c r="C31" s="72" t="s">
        <v>385</v>
      </c>
      <c r="D31" s="74">
        <v>206</v>
      </c>
      <c r="E31" s="75" t="s">
        <v>386</v>
      </c>
    </row>
    <row r="32" spans="1:5" x14ac:dyDescent="0.25">
      <c r="A32" s="72"/>
      <c r="B32" s="73" t="s">
        <v>192</v>
      </c>
      <c r="C32" s="72" t="s">
        <v>387</v>
      </c>
      <c r="D32" s="74">
        <v>114</v>
      </c>
      <c r="E32" s="75" t="s">
        <v>193</v>
      </c>
    </row>
    <row r="33" spans="1:5" x14ac:dyDescent="0.25">
      <c r="A33" s="72"/>
      <c r="B33" s="73" t="s">
        <v>388</v>
      </c>
      <c r="C33" s="72" t="s">
        <v>389</v>
      </c>
      <c r="D33" s="74">
        <v>414</v>
      </c>
      <c r="E33" s="75" t="s">
        <v>390</v>
      </c>
    </row>
    <row r="34" spans="1:5" x14ac:dyDescent="0.25">
      <c r="A34" s="72"/>
      <c r="B34" s="73" t="s">
        <v>391</v>
      </c>
      <c r="C34" s="72" t="s">
        <v>392</v>
      </c>
      <c r="D34" s="74">
        <v>469</v>
      </c>
      <c r="E34" s="75" t="s">
        <v>390</v>
      </c>
    </row>
    <row r="35" spans="1:5" x14ac:dyDescent="0.25">
      <c r="A35" s="72"/>
      <c r="B35" s="73">
        <v>1648461</v>
      </c>
      <c r="C35" s="72" t="s">
        <v>393</v>
      </c>
      <c r="D35" s="74">
        <v>40</v>
      </c>
      <c r="E35" s="75" t="s">
        <v>367</v>
      </c>
    </row>
    <row r="36" spans="1:5" x14ac:dyDescent="0.25">
      <c r="A36" s="72"/>
      <c r="B36" s="73" t="s">
        <v>394</v>
      </c>
      <c r="C36" s="72" t="s">
        <v>395</v>
      </c>
      <c r="D36" s="74">
        <v>273</v>
      </c>
      <c r="E36" s="75">
        <v>1</v>
      </c>
    </row>
    <row r="37" spans="1:5" x14ac:dyDescent="0.25">
      <c r="A37" s="72"/>
      <c r="B37" s="73" t="s">
        <v>95</v>
      </c>
      <c r="C37" s="72" t="s">
        <v>436</v>
      </c>
      <c r="D37" s="74">
        <v>359</v>
      </c>
      <c r="E37" s="75" t="s">
        <v>29</v>
      </c>
    </row>
    <row r="38" spans="1:5" x14ac:dyDescent="0.25">
      <c r="A38" s="72"/>
      <c r="B38" s="72"/>
      <c r="C38" s="72"/>
      <c r="D38" s="72"/>
      <c r="E38" s="72"/>
    </row>
    <row r="39" spans="1:5" x14ac:dyDescent="0.25">
      <c r="A39" s="77"/>
      <c r="B39" s="78" t="s">
        <v>396</v>
      </c>
      <c r="C39" s="77" t="s">
        <v>397</v>
      </c>
      <c r="D39" s="79">
        <v>60</v>
      </c>
      <c r="E39" s="77"/>
    </row>
    <row r="40" spans="1:5" x14ac:dyDescent="0.25">
      <c r="A40" s="80"/>
      <c r="B40" s="80" t="s">
        <v>398</v>
      </c>
      <c r="C40" s="80" t="s">
        <v>399</v>
      </c>
      <c r="D40" s="81">
        <v>18</v>
      </c>
      <c r="E40" s="80"/>
    </row>
    <row r="41" spans="1:5" ht="7.5" customHeight="1" x14ac:dyDescent="0.25"/>
    <row r="42" spans="1:5" x14ac:dyDescent="0.25">
      <c r="A42" s="82"/>
      <c r="B42" s="102" t="s">
        <v>435</v>
      </c>
      <c r="C42" s="103"/>
      <c r="D42" s="83"/>
      <c r="E42" s="84"/>
    </row>
    <row r="43" spans="1:5" ht="50.25" customHeight="1" x14ac:dyDescent="0.25">
      <c r="A43" s="82"/>
      <c r="B43" s="104"/>
      <c r="C43" s="105"/>
      <c r="D43" s="83"/>
      <c r="E43" s="84"/>
    </row>
    <row r="44" spans="1:5" x14ac:dyDescent="0.25">
      <c r="A44" s="82"/>
      <c r="B44" s="72" t="s">
        <v>400</v>
      </c>
      <c r="C44" s="72" t="s">
        <v>401</v>
      </c>
      <c r="D44" s="83"/>
      <c r="E44" s="84"/>
    </row>
    <row r="45" spans="1:5" x14ac:dyDescent="0.25">
      <c r="A45" s="82"/>
      <c r="B45" s="77" t="s">
        <v>7</v>
      </c>
      <c r="C45" s="85" t="s">
        <v>402</v>
      </c>
      <c r="D45" s="83"/>
      <c r="E45" s="84"/>
    </row>
    <row r="46" spans="1:5" x14ac:dyDescent="0.25">
      <c r="A46" s="82"/>
      <c r="B46" s="77" t="s">
        <v>258</v>
      </c>
      <c r="C46" s="77"/>
      <c r="D46" s="83"/>
      <c r="E46" s="84"/>
    </row>
    <row r="47" spans="1:5" x14ac:dyDescent="0.25">
      <c r="A47" s="82"/>
      <c r="B47" s="80" t="s">
        <v>238</v>
      </c>
      <c r="C47" s="80"/>
      <c r="D47" s="83"/>
      <c r="E47" s="84"/>
    </row>
  </sheetData>
  <mergeCells count="2">
    <mergeCell ref="A1:E1"/>
    <mergeCell ref="B42:C43"/>
  </mergeCells>
  <hyperlinks>
    <hyperlink ref="C45" r:id="rId1"/>
  </hyperlinks>
  <pageMargins left="0.25" right="0.25" top="0.75" bottom="0.75" header="0.3" footer="0.3"/>
  <pageSetup paperSize="9" orientation="portrait" r:id="rId2"/>
  <headerFooter>
    <oddHeader xml:space="preserve">&amp;C&amp;9Transplant Laboratory, Leicester General Hospital, University Hospitals of Leicester&amp;11
</oddHeader>
    <oddFooter>&amp;CItem catalogue v1 Mar 2021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0" tint="-0.14999847407452621"/>
  </sheetPr>
  <dimension ref="A1:M2"/>
  <sheetViews>
    <sheetView workbookViewId="0">
      <selection activeCell="K17" sqref="K17"/>
    </sheetView>
  </sheetViews>
  <sheetFormatPr defaultRowHeight="15" x14ac:dyDescent="0.25"/>
  <cols>
    <col min="1" max="1" width="13.5703125" bestFit="1" customWidth="1"/>
    <col min="2" max="2" width="10.7109375" bestFit="1" customWidth="1"/>
    <col min="3" max="3" width="22.42578125" bestFit="1" customWidth="1"/>
    <col min="4" max="4" width="11.140625" bestFit="1" customWidth="1"/>
    <col min="5" max="5" width="25.5703125" bestFit="1" customWidth="1"/>
    <col min="6" max="6" width="24.42578125" bestFit="1" customWidth="1"/>
    <col min="7" max="7" width="27.28515625" bestFit="1" customWidth="1"/>
    <col min="8" max="8" width="20" bestFit="1" customWidth="1"/>
    <col min="9" max="9" width="16" bestFit="1" customWidth="1"/>
    <col min="10" max="10" width="19.28515625" bestFit="1" customWidth="1"/>
    <col min="11" max="11" width="23.7109375" bestFit="1" customWidth="1"/>
    <col min="12" max="12" width="13.5703125" bestFit="1" customWidth="1"/>
  </cols>
  <sheetData>
    <row r="1" spans="1:13" ht="48.75" customHeight="1" x14ac:dyDescent="0.25">
      <c r="A1" s="1"/>
      <c r="B1" s="2"/>
      <c r="C1" s="3"/>
      <c r="D1" s="2"/>
      <c r="E1" s="3"/>
      <c r="F1" s="4"/>
      <c r="G1" s="2"/>
      <c r="H1" s="4"/>
      <c r="I1" s="5"/>
      <c r="J1" s="5"/>
      <c r="K1" s="6"/>
      <c r="L1" s="2"/>
      <c r="M1" s="4"/>
    </row>
    <row r="2" spans="1:13" s="12" customFormat="1" ht="20.100000000000001" customHeight="1" x14ac:dyDescent="0.3">
      <c r="A2" s="7" t="s">
        <v>0</v>
      </c>
      <c r="B2" s="7" t="s">
        <v>1</v>
      </c>
      <c r="C2" s="8" t="s">
        <v>2</v>
      </c>
      <c r="D2" s="7" t="s">
        <v>3</v>
      </c>
      <c r="E2" s="8" t="s">
        <v>4</v>
      </c>
      <c r="F2" s="9" t="s">
        <v>5</v>
      </c>
      <c r="G2" s="7" t="s">
        <v>6</v>
      </c>
      <c r="H2" s="9" t="s">
        <v>7</v>
      </c>
      <c r="I2" s="10" t="s">
        <v>8</v>
      </c>
      <c r="J2" s="10" t="s">
        <v>9</v>
      </c>
      <c r="K2" s="11" t="s">
        <v>10</v>
      </c>
      <c r="L2" s="7" t="s">
        <v>11</v>
      </c>
      <c r="M2" s="9" t="s">
        <v>12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Catalogue</vt:lpstr>
      <vt:lpstr>Inventory</vt:lpstr>
      <vt:lpstr>Verification</vt:lpstr>
      <vt:lpstr>Order Form</vt:lpstr>
      <vt:lpstr>Order Form - Multi</vt:lpstr>
      <vt:lpstr>Supplier List</vt:lpstr>
      <vt:lpstr>VH Bio Batch Order</vt:lpstr>
      <vt:lpstr>Items Out of Use</vt:lpstr>
    </vt:vector>
  </TitlesOfParts>
  <Company>University Hospitals Of Leicester NHS Trust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Bradshaw Robert - Clinical Scientist</dc:creator>
  <cp:lastModifiedBy>Bradshaw Robert - Clinical Scientist</cp:lastModifiedBy>
  <dcterms:created xsi:type="dcterms:W3CDTF">2021-03-19T15:59:42Z</dcterms:created>
  <dcterms:modified xsi:type="dcterms:W3CDTF">2021-03-30T15:00:26Z</dcterms:modified>
</cp:coreProperties>
</file>